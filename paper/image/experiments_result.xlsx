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桌面\小论文\"/>
    </mc:Choice>
  </mc:AlternateContent>
  <xr:revisionPtr revIDLastSave="0" documentId="13_ncr:1_{CA5C9FA1-5CE1-4148-BD8A-AB08A5C380A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BKDF2 手续费用实验" sheetId="6" r:id="rId1"/>
    <sheet name="PBKDF2 执行时间对比_x0009__x0009__x0009__x0009__x0009__x0009_" sheetId="7" r:id="rId2"/>
    <sheet name="执行效率" sheetId="1" r:id="rId3"/>
    <sheet name="执行消耗gas" sheetId="2" r:id="rId4"/>
    <sheet name="升级效率" sheetId="3" r:id="rId5"/>
    <sheet name="升级消耗Gas" sheetId="4" r:id="rId6"/>
    <sheet name="复杂算法实验" sheetId="5" r:id="rId7"/>
  </sheets>
  <calcPr calcId="191029"/>
</workbook>
</file>

<file path=xl/calcChain.xml><?xml version="1.0" encoding="utf-8"?>
<calcChain xmlns="http://schemas.openxmlformats.org/spreadsheetml/2006/main">
  <c r="D3" i="5" l="1"/>
  <c r="D4" i="5"/>
  <c r="D5" i="5"/>
  <c r="D6" i="5"/>
  <c r="D7" i="5"/>
  <c r="D2" i="5"/>
</calcChain>
</file>

<file path=xl/sharedStrings.xml><?xml version="1.0" encoding="utf-8"?>
<sst xmlns="http://schemas.openxmlformats.org/spreadsheetml/2006/main" count="138" uniqueCount="101">
  <si>
    <t>算法</t>
  </si>
  <si>
    <t>Solidity 部署 Gas</t>
  </si>
  <si>
    <t>Add</t>
  </si>
  <si>
    <t>Sha256</t>
  </si>
  <si>
    <t>Blake2bSum256</t>
  </si>
  <si>
    <t>Pbkdf2Sha256</t>
  </si>
  <si>
    <t>Dh2048Secret</t>
  </si>
  <si>
    <t>PedersenCommit</t>
  </si>
  <si>
    <t>SchnorrVerify</t>
  </si>
  <si>
    <t>PolynomialMul</t>
  </si>
  <si>
    <t>upgrade (mean)</t>
  </si>
  <si>
    <t>contract (mean)</t>
  </si>
  <si>
    <t>precompile (mean)</t>
  </si>
  <si>
    <t>0.55ms</t>
  </si>
  <si>
    <t>0.40ms</t>
  </si>
  <si>
    <t>0.51ms</t>
  </si>
  <si>
    <t>0.38ms</t>
  </si>
  <si>
    <t>0.39ms</t>
  </si>
  <si>
    <t>0.50ms</t>
  </si>
  <si>
    <t>0.60ms</t>
  </si>
  <si>
    <t>0.56ms</t>
  </si>
  <si>
    <t>1.15ms</t>
  </si>
  <si>
    <t>0.41ms</t>
  </si>
  <si>
    <t>1.26ms</t>
  </si>
  <si>
    <t>2.07ms</t>
  </si>
  <si>
    <t>0.47ms</t>
  </si>
  <si>
    <t>3.67ms</t>
  </si>
  <si>
    <t>4.33ms</t>
  </si>
  <si>
    <t>0.62ms</t>
  </si>
  <si>
    <t>0.44ms</t>
  </si>
  <si>
    <t>upgrade gas</t>
  </si>
  <si>
    <t>contract gas</t>
  </si>
  <si>
    <t>upgrade/contract</t>
  </si>
  <si>
    <t>更省 Gas 的方案</t>
  </si>
  <si>
    <t>1.17×</t>
  </si>
  <si>
    <t>contract（-15%）</t>
  </si>
  <si>
    <t>1.13×</t>
  </si>
  <si>
    <t>contract（-11%）</t>
  </si>
  <si>
    <t>0.23×</t>
  </si>
  <si>
    <t>upgrade（-77%）</t>
  </si>
  <si>
    <t>0.52×</t>
  </si>
  <si>
    <t>upgrade（-48%）</t>
  </si>
  <si>
    <t>0.60×</t>
  </si>
  <si>
    <t>upgrade（-40%）</t>
  </si>
  <si>
    <t>0.26×</t>
  </si>
  <si>
    <t>upgrade（-74%）</t>
  </si>
  <si>
    <t>0.10×</t>
  </si>
  <si>
    <t>upgrade（-90%）</t>
  </si>
  <si>
    <t>0.95×</t>
  </si>
  <si>
    <t>基本持平</t>
  </si>
  <si>
    <t>Algorithm</t>
  </si>
  <si>
    <t>Upgrade Mean</t>
  </si>
  <si>
    <t>Contract Mean</t>
  </si>
  <si>
    <t>0.60 ms</t>
  </si>
  <si>
    <t>0.37 ms</t>
  </si>
  <si>
    <t>0.54 ms</t>
  </si>
  <si>
    <t>0.42 ms</t>
  </si>
  <si>
    <t>0.59 ms</t>
  </si>
  <si>
    <t>0.57 ms</t>
  </si>
  <si>
    <t>0.55 ms</t>
  </si>
  <si>
    <t>0.58 ms</t>
  </si>
  <si>
    <t>1.18 ms</t>
  </si>
  <si>
    <t>1.30 ms</t>
  </si>
  <si>
    <t>2.02 ms</t>
  </si>
  <si>
    <t>2.34 ms</t>
  </si>
  <si>
    <t>4.30 ms</t>
  </si>
  <si>
    <t>0.46 ms</t>
  </si>
  <si>
    <t>CGO mean</t>
  </si>
  <si>
    <t>WASM mean</t>
  </si>
  <si>
    <t>aigis_sig2_verify</t>
  </si>
  <si>
    <t>dilithium3_verify</t>
  </si>
  <si>
    <t>ml_dsa_65_verify</t>
  </si>
  <si>
    <t>slh_dsa_shake_192f_verify</t>
  </si>
  <si>
    <t>Groth16/BN254</t>
  </si>
  <si>
    <t>Groth16/BLS 12381</t>
    <phoneticPr fontId="3" type="noConversion"/>
  </si>
  <si>
    <t>倍数</t>
    <phoneticPr fontId="3" type="noConversion"/>
  </si>
  <si>
    <t>0.55ms</t>
    <phoneticPr fontId="3" type="noConversion"/>
  </si>
  <si>
    <t>evoCrypt 升级 Gas</t>
    <phoneticPr fontId="3" type="noConversion"/>
  </si>
  <si>
    <t>单笔交易调用次数</t>
  </si>
  <si>
    <t>Solidity 累计 Gas</t>
  </si>
  <si>
    <t>EvoCrypt 累计 Gas</t>
  </si>
  <si>
    <t>内部迭代次数</t>
  </si>
  <si>
    <t>Solidity 时间 ms</t>
  </si>
  <si>
    <t>原生预编译时间 ms</t>
  </si>
  <si>
    <t>EvoCrypt 时间 ms</t>
  </si>
  <si>
    <t>Solidity Gas</t>
  </si>
  <si>
    <t>原生预编译 Gas</t>
  </si>
  <si>
    <t>EvoCrypt Gas</t>
  </si>
  <si>
    <t>调用次数n</t>
  </si>
  <si>
    <t>g₀=1500</t>
  </si>
  <si>
    <t>g₀=3000（基线）</t>
  </si>
  <si>
    <t>g₀=6000</t>
  </si>
  <si>
    <t>α=1/4</t>
  </si>
  <si>
    <t>α=1/2（基线）</t>
  </si>
  <si>
    <t>α=3/4</t>
  </si>
  <si>
    <t>N₀=1</t>
  </si>
  <si>
    <t>N₀=2（基线）</t>
  </si>
  <si>
    <t>N₀=4</t>
  </si>
  <si>
    <t>固定 α=1/2、N₀=2</t>
  </si>
  <si>
    <t>固定 g₀=3000、N₀=2</t>
  </si>
  <si>
    <t>固定 g₀=3000、α=1/2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</si>
</sst>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6" x14ac:knownFonts="1">
    <font>
      <sz val="11"/>
      <color theme="1"/>
      <name val="等线"/>
      <family val="2"/>
      <charset val="134"/>
      <scheme val="minor"/>
    </font>
    <font>
      <sz val="8"/>
      <color rgb="FF141414"/>
      <name val="Segoe UI"/>
      <family val="2"/>
    </font>
    <font>
      <sz val="8"/>
      <color rgb="FF141414"/>
      <name val="Segoe UI"/>
      <family val="2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8"/>
      <color rgb="FF141414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3" fontId="2" fillId="2" borderId="0" xfId="0" applyNumberFormat="1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/>
    <xf numFmtId="176" fontId="0" fillId="0" borderId="0" xfId="0" applyNumberForma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Gas</a:t>
            </a:r>
            <a:r>
              <a:rPr lang="zh-CN" altLang="en-US"/>
              <a:t>费用数据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'PBKDF2 手续费用实验'!$A$2:$A$10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8</c:v>
                </c:pt>
                <c:pt idx="7">
                  <c:v>12</c:v>
                </c:pt>
                <c:pt idx="8">
                  <c:v>16</c:v>
                </c:pt>
              </c:numCache>
            </c:numRef>
          </c:cat>
          <c:val>
            <c:numRef>
              <c:f>'PBKDF2 手续费用实验'!$B$2:$B$10</c:f>
              <c:numCache>
                <c:formatCode>General</c:formatCode>
                <c:ptCount val="9"/>
                <c:pt idx="0">
                  <c:v>297297</c:v>
                </c:pt>
                <c:pt idx="1">
                  <c:v>566367</c:v>
                </c:pt>
                <c:pt idx="2">
                  <c:v>835438</c:v>
                </c:pt>
                <c:pt idx="3">
                  <c:v>1104509</c:v>
                </c:pt>
                <c:pt idx="4">
                  <c:v>1373581</c:v>
                </c:pt>
                <c:pt idx="5">
                  <c:v>1642653</c:v>
                </c:pt>
                <c:pt idx="6">
                  <c:v>2180800</c:v>
                </c:pt>
                <c:pt idx="7">
                  <c:v>3257099</c:v>
                </c:pt>
                <c:pt idx="8">
                  <c:v>4333408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23-42F5-8F7E-3BAF58096E0F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'PBKDF2 手续费用实验'!$A$2:$A$10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8</c:v>
                </c:pt>
                <c:pt idx="7">
                  <c:v>12</c:v>
                </c:pt>
                <c:pt idx="8">
                  <c:v>16</c:v>
                </c:pt>
              </c:numCache>
            </c:numRef>
          </c:cat>
          <c:val>
            <c:numRef>
              <c:f>'PBKDF2 手续费用实验'!$C$2:$C$10</c:f>
              <c:numCache>
                <c:formatCode>General</c:formatCode>
                <c:ptCount val="9"/>
                <c:pt idx="0">
                  <c:v>34367</c:v>
                </c:pt>
                <c:pt idx="1">
                  <c:v>40538</c:v>
                </c:pt>
                <c:pt idx="2">
                  <c:v>48211</c:v>
                </c:pt>
                <c:pt idx="3">
                  <c:v>58136</c:v>
                </c:pt>
                <c:pt idx="4">
                  <c:v>71438</c:v>
                </c:pt>
                <c:pt idx="5">
                  <c:v>89804</c:v>
                </c:pt>
                <c:pt idx="6">
                  <c:v>153120</c:v>
                </c:pt>
                <c:pt idx="7">
                  <c:v>582337</c:v>
                </c:pt>
                <c:pt idx="8">
                  <c:v>2703489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23-42F5-8F7E-3BAF58096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0087519"/>
        <c:axId val="59007119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'PBKDF2 手续费用实验'!$A$2:$A$10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8</c:v>
                      </c:pt>
                      <c:pt idx="7">
                        <c:v>12</c:v>
                      </c:pt>
                      <c:pt idx="8">
                        <c:v>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'PBKDF2 手续费用实验'!$A$2:$A$10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8</c:v>
                      </c:pt>
                      <c:pt idx="7">
                        <c:v>12</c:v>
                      </c:pt>
                      <c:pt idx="8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D23-42F5-8F7E-3BAF58096E0F}"/>
                  </c:ext>
                </c:extLst>
              </c15:ser>
            </c15:filteredLineSeries>
          </c:ext>
        </c:extLst>
      </c:lineChart>
      <c:catAx>
        <c:axId val="590087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0071199"/>
        <c:crosses val="autoZero"/>
        <c:auto val="1"/>
        <c:lblAlgn val="ctr"/>
        <c:lblOffset val="100"/>
        <c:noMultiLvlLbl val="0"/>
      </c:catAx>
      <c:valAx>
        <c:axId val="59007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008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'PBKDF2 手续费用实验'!$B$17</c:f>
              <c:strCache>
                <c:ptCount val="1"/>
                <c:pt idx="0">
                  <c:v>g₀=1500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'PBKDF2 手续费用实验'!$A$18:$A$26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8</c:v>
                </c:pt>
                <c:pt idx="7">
                  <c:v>12</c:v>
                </c:pt>
                <c:pt idx="8">
                  <c:v>16</c:v>
                </c:pt>
              </c:numCache>
            </c:numRef>
          </c:cat>
          <c:val>
            <c:numRef>
              <c:f>'PBKDF2 手续费用实验'!$B$18:$B$27</c:f>
              <c:numCache>
                <c:formatCode>General</c:formatCode>
                <c:ptCount val="10"/>
                <c:pt idx="0">
                  <c:v>32867</c:v>
                </c:pt>
                <c:pt idx="1">
                  <c:v>37538</c:v>
                </c:pt>
                <c:pt idx="2">
                  <c:v>42961</c:v>
                </c:pt>
                <c:pt idx="3">
                  <c:v>49511</c:v>
                </c:pt>
                <c:pt idx="4">
                  <c:v>57751</c:v>
                </c:pt>
                <c:pt idx="5">
                  <c:v>68523</c:v>
                </c:pt>
                <c:pt idx="6">
                  <c:v>103362</c:v>
                </c:pt>
                <c:pt idx="7">
                  <c:v>324344</c:v>
                </c:pt>
                <c:pt idx="8">
                  <c:v>1391307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52-4004-B0EF-F1CAC9C67D7A}"/>
            </c:ext>
          </c:extLst>
        </c:ser>
        <c:ser>
          <c:idx val="1"/>
          <c:order val="1"/>
          <c:tx>
            <c:strRef>
              <c:f>'PBKDF2 手续费用实验'!$C$17</c:f>
              <c:strCache>
                <c:ptCount val="1"/>
                <c:pt idx="0">
                  <c:v>g₀=3000（基线）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'PBKDF2 手续费用实验'!$A$18:$A$26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8</c:v>
                </c:pt>
                <c:pt idx="7">
                  <c:v>12</c:v>
                </c:pt>
                <c:pt idx="8">
                  <c:v>16</c:v>
                </c:pt>
              </c:numCache>
            </c:numRef>
          </c:cat>
          <c:val>
            <c:numRef>
              <c:f>'PBKDF2 手续费用实验'!$C$18:$C$27</c:f>
              <c:numCache>
                <c:formatCode>General</c:formatCode>
                <c:ptCount val="10"/>
                <c:pt idx="0">
                  <c:v>34367</c:v>
                </c:pt>
                <c:pt idx="1">
                  <c:v>40538</c:v>
                </c:pt>
                <c:pt idx="2">
                  <c:v>48211</c:v>
                </c:pt>
                <c:pt idx="3">
                  <c:v>58136</c:v>
                </c:pt>
                <c:pt idx="4">
                  <c:v>71438</c:v>
                </c:pt>
                <c:pt idx="5">
                  <c:v>89804</c:v>
                </c:pt>
                <c:pt idx="6">
                  <c:v>153120</c:v>
                </c:pt>
                <c:pt idx="7">
                  <c:v>582337</c:v>
                </c:pt>
                <c:pt idx="8">
                  <c:v>2703489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52-4004-B0EF-F1CAC9C67D7A}"/>
            </c:ext>
          </c:extLst>
        </c:ser>
        <c:ser>
          <c:idx val="2"/>
          <c:order val="2"/>
          <c:tx>
            <c:strRef>
              <c:f>'PBKDF2 手续费用实验'!$D$17</c:f>
              <c:strCache>
                <c:ptCount val="1"/>
                <c:pt idx="0">
                  <c:v>g₀=6000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'PBKDF2 手续费用实验'!$A$18:$A$26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8</c:v>
                </c:pt>
                <c:pt idx="7">
                  <c:v>12</c:v>
                </c:pt>
                <c:pt idx="8">
                  <c:v>16</c:v>
                </c:pt>
              </c:numCache>
            </c:numRef>
          </c:cat>
          <c:val>
            <c:numRef>
              <c:f>'PBKDF2 手续费用实验'!$D$18:$D$27</c:f>
              <c:numCache>
                <c:formatCode>General</c:formatCode>
                <c:ptCount val="10"/>
                <c:pt idx="0">
                  <c:v>37367</c:v>
                </c:pt>
                <c:pt idx="1">
                  <c:v>46538</c:v>
                </c:pt>
                <c:pt idx="2">
                  <c:v>58711</c:v>
                </c:pt>
                <c:pt idx="3">
                  <c:v>75386</c:v>
                </c:pt>
                <c:pt idx="4">
                  <c:v>98813</c:v>
                </c:pt>
                <c:pt idx="5">
                  <c:v>132366</c:v>
                </c:pt>
                <c:pt idx="6">
                  <c:v>252635</c:v>
                </c:pt>
                <c:pt idx="7">
                  <c:v>1098322</c:v>
                </c:pt>
                <c:pt idx="8">
                  <c:v>5327853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52-4004-B0EF-F1CAC9C67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0111791"/>
        <c:axId val="590110351"/>
      </c:lineChart>
      <c:catAx>
        <c:axId val="590111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0110351"/>
        <c:crosses val="autoZero"/>
        <c:auto val="1"/>
        <c:lblAlgn val="ctr"/>
        <c:lblOffset val="100"/>
        <c:noMultiLvlLbl val="0"/>
      </c:catAx>
      <c:valAx>
        <c:axId val="59011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0111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'PBKDF2 手续费用实验'!$B$30</c:f>
              <c:strCache>
                <c:ptCount val="1"/>
                <c:pt idx="0">
                  <c:v>α=1/4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'PBKDF2 手续费用实验'!$A$31:$A$39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8</c:v>
                </c:pt>
                <c:pt idx="7">
                  <c:v>12</c:v>
                </c:pt>
                <c:pt idx="8">
                  <c:v>16</c:v>
                </c:pt>
              </c:numCache>
            </c:numRef>
          </c:cat>
          <c:val>
            <c:numRef>
              <c:f>'PBKDF2 手续费用实验'!$B$31:$B$39</c:f>
              <c:numCache>
                <c:formatCode>General</c:formatCode>
                <c:ptCount val="9"/>
                <c:pt idx="0">
                  <c:v>34367</c:v>
                </c:pt>
                <c:pt idx="1">
                  <c:v>40538</c:v>
                </c:pt>
                <c:pt idx="2">
                  <c:v>47461</c:v>
                </c:pt>
                <c:pt idx="3">
                  <c:v>55324</c:v>
                </c:pt>
                <c:pt idx="4">
                  <c:v>64361</c:v>
                </c:pt>
                <c:pt idx="5">
                  <c:v>74864</c:v>
                </c:pt>
                <c:pt idx="6">
                  <c:v>101827</c:v>
                </c:pt>
                <c:pt idx="7">
                  <c:v>197052</c:v>
                </c:pt>
                <c:pt idx="8">
                  <c:v>411188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2A-4758-9A57-9047DAAA998C}"/>
            </c:ext>
          </c:extLst>
        </c:ser>
        <c:ser>
          <c:idx val="1"/>
          <c:order val="1"/>
          <c:tx>
            <c:strRef>
              <c:f>'PBKDF2 手续费用实验'!$C$30</c:f>
              <c:strCache>
                <c:ptCount val="1"/>
                <c:pt idx="0">
                  <c:v>α=1/2（基线）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'PBKDF2 手续费用实验'!$A$31:$A$39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8</c:v>
                </c:pt>
                <c:pt idx="7">
                  <c:v>12</c:v>
                </c:pt>
                <c:pt idx="8">
                  <c:v>16</c:v>
                </c:pt>
              </c:numCache>
            </c:numRef>
          </c:cat>
          <c:val>
            <c:numRef>
              <c:f>'PBKDF2 手续费用实验'!$C$31:$C$39</c:f>
              <c:numCache>
                <c:formatCode>General</c:formatCode>
                <c:ptCount val="9"/>
                <c:pt idx="0">
                  <c:v>34367</c:v>
                </c:pt>
                <c:pt idx="1">
                  <c:v>40538</c:v>
                </c:pt>
                <c:pt idx="2">
                  <c:v>48211</c:v>
                </c:pt>
                <c:pt idx="3">
                  <c:v>58136</c:v>
                </c:pt>
                <c:pt idx="4">
                  <c:v>71438</c:v>
                </c:pt>
                <c:pt idx="5">
                  <c:v>89804</c:v>
                </c:pt>
                <c:pt idx="6">
                  <c:v>153120</c:v>
                </c:pt>
                <c:pt idx="7">
                  <c:v>582337</c:v>
                </c:pt>
                <c:pt idx="8">
                  <c:v>2703489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2A-4758-9A57-9047DAAA998C}"/>
            </c:ext>
          </c:extLst>
        </c:ser>
        <c:ser>
          <c:idx val="2"/>
          <c:order val="2"/>
          <c:tx>
            <c:strRef>
              <c:f>'PBKDF2 手续费用实验'!$D$30</c:f>
              <c:strCache>
                <c:ptCount val="1"/>
                <c:pt idx="0">
                  <c:v>α=3/4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'PBKDF2 手续费用实验'!$A$31:$A$39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8</c:v>
                </c:pt>
                <c:pt idx="7">
                  <c:v>12</c:v>
                </c:pt>
                <c:pt idx="8">
                  <c:v>16</c:v>
                </c:pt>
              </c:numCache>
            </c:numRef>
          </c:cat>
          <c:val>
            <c:numRef>
              <c:f>'PBKDF2 手续费用实验'!$D$31:$D$39</c:f>
              <c:numCache>
                <c:formatCode>General</c:formatCode>
                <c:ptCount val="9"/>
                <c:pt idx="0">
                  <c:v>34367</c:v>
                </c:pt>
                <c:pt idx="1">
                  <c:v>40538</c:v>
                </c:pt>
                <c:pt idx="2">
                  <c:v>48961</c:v>
                </c:pt>
                <c:pt idx="3">
                  <c:v>61324</c:v>
                </c:pt>
                <c:pt idx="4">
                  <c:v>80580</c:v>
                </c:pt>
                <c:pt idx="5">
                  <c:v>111895</c:v>
                </c:pt>
                <c:pt idx="6">
                  <c:v>253666</c:v>
                </c:pt>
                <c:pt idx="7">
                  <c:v>1951079</c:v>
                </c:pt>
                <c:pt idx="8">
                  <c:v>17764173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2A-4758-9A57-9047DAAA9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0123791"/>
        <c:axId val="590107951"/>
      </c:lineChart>
      <c:catAx>
        <c:axId val="590123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0107951"/>
        <c:crosses val="autoZero"/>
        <c:auto val="1"/>
        <c:lblAlgn val="ctr"/>
        <c:lblOffset val="100"/>
        <c:noMultiLvlLbl val="0"/>
      </c:catAx>
      <c:valAx>
        <c:axId val="59010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0123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'PBKDF2 手续费用实验'!$B$42</c:f>
              <c:strCache>
                <c:ptCount val="1"/>
                <c:pt idx="0">
                  <c:v>N₀=1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'PBKDF2 手续费用实验'!$A$43:$A$51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8</c:v>
                </c:pt>
                <c:pt idx="7">
                  <c:v>12</c:v>
                </c:pt>
                <c:pt idx="8">
                  <c:v>16</c:v>
                </c:pt>
              </c:numCache>
            </c:numRef>
          </c:cat>
          <c:val>
            <c:numRef>
              <c:f>'PBKDF2 手续费用实验'!$B$43:$B$51</c:f>
              <c:numCache>
                <c:formatCode>General</c:formatCode>
                <c:ptCount val="9"/>
                <c:pt idx="0">
                  <c:v>34367</c:v>
                </c:pt>
                <c:pt idx="1">
                  <c:v>42038</c:v>
                </c:pt>
                <c:pt idx="2">
                  <c:v>51961</c:v>
                </c:pt>
                <c:pt idx="3">
                  <c:v>65261</c:v>
                </c:pt>
                <c:pt idx="4">
                  <c:v>83626</c:v>
                </c:pt>
                <c:pt idx="5">
                  <c:v>109586</c:v>
                </c:pt>
                <c:pt idx="6">
                  <c:v>201378</c:v>
                </c:pt>
                <c:pt idx="7">
                  <c:v>838830</c:v>
                </c:pt>
                <c:pt idx="8">
                  <c:v>4014171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BD-4D22-A587-D3316441EE4E}"/>
            </c:ext>
          </c:extLst>
        </c:ser>
        <c:ser>
          <c:idx val="1"/>
          <c:order val="1"/>
          <c:tx>
            <c:strRef>
              <c:f>'PBKDF2 手续费用实验'!$C$42</c:f>
              <c:strCache>
                <c:ptCount val="1"/>
                <c:pt idx="0">
                  <c:v>N₀=2（基线）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'PBKDF2 手续费用实验'!$A$43:$A$51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8</c:v>
                </c:pt>
                <c:pt idx="7">
                  <c:v>12</c:v>
                </c:pt>
                <c:pt idx="8">
                  <c:v>16</c:v>
                </c:pt>
              </c:numCache>
            </c:numRef>
          </c:cat>
          <c:val>
            <c:numRef>
              <c:f>'PBKDF2 手续费用实验'!$C$43:$C$51</c:f>
              <c:numCache>
                <c:formatCode>General</c:formatCode>
                <c:ptCount val="9"/>
                <c:pt idx="0">
                  <c:v>34367</c:v>
                </c:pt>
                <c:pt idx="1">
                  <c:v>40538</c:v>
                </c:pt>
                <c:pt idx="2">
                  <c:v>48211</c:v>
                </c:pt>
                <c:pt idx="3">
                  <c:v>58136</c:v>
                </c:pt>
                <c:pt idx="4">
                  <c:v>71438</c:v>
                </c:pt>
                <c:pt idx="5">
                  <c:v>89804</c:v>
                </c:pt>
                <c:pt idx="6">
                  <c:v>153120</c:v>
                </c:pt>
                <c:pt idx="7">
                  <c:v>582337</c:v>
                </c:pt>
                <c:pt idx="8">
                  <c:v>2703489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BD-4D22-A587-D3316441EE4E}"/>
            </c:ext>
          </c:extLst>
        </c:ser>
        <c:ser>
          <c:idx val="2"/>
          <c:order val="2"/>
          <c:tx>
            <c:strRef>
              <c:f>'PBKDF2 手续费用实验'!$D$42</c:f>
              <c:strCache>
                <c:ptCount val="1"/>
                <c:pt idx="0">
                  <c:v>N₀=4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'PBKDF2 手续费用实验'!$A$43:$A$51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8</c:v>
                </c:pt>
                <c:pt idx="7">
                  <c:v>12</c:v>
                </c:pt>
                <c:pt idx="8">
                  <c:v>16</c:v>
                </c:pt>
              </c:numCache>
            </c:numRef>
          </c:cat>
          <c:val>
            <c:numRef>
              <c:f>'PBKDF2 手续费用实验'!$D$43:$D$51</c:f>
              <c:numCache>
                <c:formatCode>General</c:formatCode>
                <c:ptCount val="9"/>
                <c:pt idx="0">
                  <c:v>34367</c:v>
                </c:pt>
                <c:pt idx="1">
                  <c:v>40538</c:v>
                </c:pt>
                <c:pt idx="2">
                  <c:v>46711</c:v>
                </c:pt>
                <c:pt idx="3">
                  <c:v>52886</c:v>
                </c:pt>
                <c:pt idx="4">
                  <c:v>60563</c:v>
                </c:pt>
                <c:pt idx="5">
                  <c:v>70491</c:v>
                </c:pt>
                <c:pt idx="6">
                  <c:v>102166</c:v>
                </c:pt>
                <c:pt idx="7">
                  <c:v>300010</c:v>
                </c:pt>
                <c:pt idx="8">
                  <c:v>1249842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BD-4D22-A587-D3316441EE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0083679"/>
        <c:axId val="590088479"/>
      </c:lineChart>
      <c:catAx>
        <c:axId val="590083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0088479"/>
        <c:crosses val="autoZero"/>
        <c:auto val="1"/>
        <c:lblAlgn val="ctr"/>
        <c:lblOffset val="100"/>
        <c:noMultiLvlLbl val="0"/>
      </c:catAx>
      <c:valAx>
        <c:axId val="59008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0083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调用时间数据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'PBKDF2 执行时间对比						'!$B$1</c:f>
              <c:strCache>
                <c:ptCount val="1"/>
                <c:pt idx="0">
                  <c:v>Solidity 时间 ms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'PBKDF2 执行时间对比						'!$A$2:$A$8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</c:numCache>
            </c:numRef>
          </c:cat>
          <c:val>
            <c:numRef>
              <c:f>'PBKDF2 执行时间对比						'!$B$2:$B$8</c:f>
              <c:numCache>
                <c:formatCode>General</c:formatCode>
                <c:ptCount val="7"/>
                <c:pt idx="0">
                  <c:v>0.74399999999999999</c:v>
                </c:pt>
                <c:pt idx="1">
                  <c:v>0.82799999999999996</c:v>
                </c:pt>
                <c:pt idx="2">
                  <c:v>1.0760000000000001</c:v>
                </c:pt>
                <c:pt idx="3">
                  <c:v>1.4590000000000001</c:v>
                </c:pt>
                <c:pt idx="4">
                  <c:v>2.2130000000000001</c:v>
                </c:pt>
                <c:pt idx="5">
                  <c:v>4.4539999999999997</c:v>
                </c:pt>
                <c:pt idx="6">
                  <c:v>8.1519999999999992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C6-41A6-811E-62C2EB9869F0}"/>
            </c:ext>
          </c:extLst>
        </c:ser>
        <c:ser>
          <c:idx val="2"/>
          <c:order val="2"/>
          <c:tx>
            <c:strRef>
              <c:f>'PBKDF2 执行时间对比						'!$C$1</c:f>
              <c:strCache>
                <c:ptCount val="1"/>
                <c:pt idx="0">
                  <c:v>原生预编译时间 ms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'PBKDF2 执行时间对比						'!$A$2:$A$8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</c:numCache>
            </c:numRef>
          </c:cat>
          <c:val>
            <c:numRef>
              <c:f>'PBKDF2 执行时间对比						'!$C$2:$C$8</c:f>
              <c:numCache>
                <c:formatCode>General</c:formatCode>
                <c:ptCount val="7"/>
                <c:pt idx="0">
                  <c:v>0.57099999999999995</c:v>
                </c:pt>
                <c:pt idx="1">
                  <c:v>0.68899999999999995</c:v>
                </c:pt>
                <c:pt idx="2">
                  <c:v>0.622</c:v>
                </c:pt>
                <c:pt idx="3">
                  <c:v>0.56999999999999995</c:v>
                </c:pt>
                <c:pt idx="4">
                  <c:v>0.60199999999999998</c:v>
                </c:pt>
                <c:pt idx="5">
                  <c:v>0.58799999999999997</c:v>
                </c:pt>
                <c:pt idx="6">
                  <c:v>0.63900000000000001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C6-41A6-811E-62C2EB9869F0}"/>
            </c:ext>
          </c:extLst>
        </c:ser>
        <c:ser>
          <c:idx val="3"/>
          <c:order val="3"/>
          <c:tx>
            <c:strRef>
              <c:f>'PBKDF2 执行时间对比						'!$D$1</c:f>
              <c:strCache>
                <c:ptCount val="1"/>
                <c:pt idx="0">
                  <c:v>EvoCrypt 时间 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'PBKDF2 执行时间对比						'!$A$2:$A$8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100</c:v>
                </c:pt>
              </c:numCache>
            </c:numRef>
          </c:cat>
          <c:val>
            <c:numRef>
              <c:f>'PBKDF2 执行时间对比						'!$D$2:$D$8</c:f>
              <c:numCache>
                <c:formatCode>General</c:formatCode>
                <c:ptCount val="7"/>
                <c:pt idx="0">
                  <c:v>0.81699999999999995</c:v>
                </c:pt>
                <c:pt idx="1">
                  <c:v>0.85499999999999998</c:v>
                </c:pt>
                <c:pt idx="2">
                  <c:v>0.88400000000000001</c:v>
                </c:pt>
                <c:pt idx="3">
                  <c:v>0.98599999999999999</c:v>
                </c:pt>
                <c:pt idx="4">
                  <c:v>1.26</c:v>
                </c:pt>
                <c:pt idx="5">
                  <c:v>1.829</c:v>
                </c:pt>
                <c:pt idx="6">
                  <c:v>2.9670000000000001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C6-41A6-811E-62C2EB986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0097119"/>
        <c:axId val="5900942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'PBKDF2 执行时间对比						'!$A$1</c15:sqref>
                        </c15:formulaRef>
                      </c:ext>
                    </c:extLst>
                    <c:strCache>
                      <c:ptCount val="1"/>
                      <c:pt idx="0">
                        <c:v>内部迭代次数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'PBKDF2 执行时间对比						'!$A$2:$A$8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5</c:v>
                      </c:pt>
                      <c:pt idx="3">
                        <c:v>10</c:v>
                      </c:pt>
                      <c:pt idx="4">
                        <c:v>20</c:v>
                      </c:pt>
                      <c:pt idx="5">
                        <c:v>50</c:v>
                      </c:pt>
                      <c:pt idx="6">
                        <c:v>100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'PBKDF2 执行时间对比						'!$A$2:$A$8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5</c:v>
                      </c:pt>
                      <c:pt idx="3">
                        <c:v>10</c:v>
                      </c:pt>
                      <c:pt idx="4">
                        <c:v>20</c:v>
                      </c:pt>
                      <c:pt idx="5">
                        <c:v>50</c:v>
                      </c:pt>
                      <c:pt idx="6">
                        <c:v>100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B8C6-41A6-811E-62C2EB9869F0}"/>
                  </c:ext>
                </c:extLst>
              </c15:ser>
            </c15:filteredLineSeries>
          </c:ext>
        </c:extLst>
      </c:lineChart>
      <c:catAx>
        <c:axId val="590097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0094239"/>
        <c:crosses val="autoZero"/>
        <c:auto val="1"/>
        <c:lblAlgn val="ctr"/>
        <c:lblOffset val="100"/>
        <c:noMultiLvlLbl val="0"/>
      </c:catAx>
      <c:valAx>
        <c:axId val="59009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0097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1097280</xdr:colOff>
      <xdr:row>0</xdr:row>
      <xdr:rowOff>144780</xdr:rowOff>
    </xdr:from>
    <xdr:to>
      <xdr:col>10</xdr:col>
      <xdr:colOff>432148</xdr:colOff>
      <xdr:row>11</xdr:row>
      <xdr:rowOff>127139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B3499FF-7667-9405-499B-33AA450950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678180</xdr:colOff>
      <xdr:row>14</xdr:row>
      <xdr:rowOff>91440</xdr:rowOff>
    </xdr:from>
    <xdr:to>
      <xdr:col>9</xdr:col>
      <xdr:colOff>563880</xdr:colOff>
      <xdr:row>26</xdr:row>
      <xdr:rowOff>80010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820FA7E-7C45-BE27-6E75-0CB4CDF232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205740</xdr:colOff>
      <xdr:row>29</xdr:row>
      <xdr:rowOff>15240</xdr:rowOff>
    </xdr:from>
    <xdr:to>
      <xdr:col>9</xdr:col>
      <xdr:colOff>373380</xdr:colOff>
      <xdr:row>38</xdr:row>
      <xdr:rowOff>102870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EAF2D4EA-1281-1D74-C009-3D1E194FBB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487680</xdr:colOff>
      <xdr:row>39</xdr:row>
      <xdr:rowOff>156210</xdr:rowOff>
    </xdr:from>
    <xdr:to>
      <xdr:col>10</xdr:col>
      <xdr:colOff>457200</xdr:colOff>
      <xdr:row>55</xdr:row>
      <xdr:rowOff>95250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35C9315F-D437-9DE5-AF3D-6CE4D845FB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669725</xdr:colOff>
      <xdr:row>10</xdr:row>
      <xdr:rowOff>99060</xdr:rowOff>
    </xdr:from>
    <xdr:to>
      <xdr:col>4</xdr:col>
      <xdr:colOff>693420</xdr:colOff>
      <xdr:row>20</xdr:row>
      <xdr:rowOff>161898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21092EA-48B1-484C-8C88-58A93A2AB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9F2B3-7F02-4B77-8525-02BA38F2ED8D}">
  <dimension ref="A1:D51"/>
  <sheetViews>
    <sheetView tabSelected="1" zoomScaleNormal="100" workbookViewId="0">
      <selection activeCell="D14" sqref="D14"/>
    </sheetView>
  </sheetViews>
  <sheetFormatPr defaultRowHeight="13.8" x14ac:dyDescent="0.25"/>
  <cols>
    <col min="1" max="1" width="27" customWidth="1"/>
    <col min="2" max="2" width="15.77734375" bestFit="1" customWidth="1"/>
    <col min="3" max="3" width="19.33203125" bestFit="1" customWidth="1"/>
    <col min="4" max="4" width="17.33203125" bestFit="1" customWidth="1"/>
    <col min="5" max="5" width="11.5546875" bestFit="1" customWidth="1"/>
    <col min="6" max="6" width="15.6640625" bestFit="1" customWidth="1"/>
    <col min="7" max="7" width="13.21875" bestFit="1" customWidth="1"/>
  </cols>
  <sheetData>
    <row r="1" spans="1:3" x14ac:dyDescent="0.25">
      <c r="A1" t="s">
        <v>78</v>
      </c>
      <c r="B1" t="s">
        <v>79</v>
      </c>
      <c r="C1" t="s">
        <v>80</v>
      </c>
    </row>
    <row r="2" spans="1:3" x14ac:dyDescent="0.25">
      <c r="A2">
        <v>1</v>
      </c>
      <c r="B2">
        <v>297297</v>
      </c>
      <c r="C2">
        <v>34367</v>
      </c>
    </row>
    <row r="3" spans="1:3" x14ac:dyDescent="0.25">
      <c r="A3">
        <v>2</v>
      </c>
      <c r="B3">
        <v>566367</v>
      </c>
      <c r="C3">
        <v>40538</v>
      </c>
    </row>
    <row r="4" spans="1:3" x14ac:dyDescent="0.25">
      <c r="A4">
        <v>3</v>
      </c>
      <c r="B4">
        <v>835438</v>
      </c>
      <c r="C4">
        <v>48211</v>
      </c>
    </row>
    <row r="5" spans="1:3" x14ac:dyDescent="0.25">
      <c r="A5">
        <v>4</v>
      </c>
      <c r="B5">
        <v>1104509</v>
      </c>
      <c r="C5">
        <v>58136</v>
      </c>
    </row>
    <row r="6" spans="1:3" x14ac:dyDescent="0.25">
      <c r="A6">
        <v>5</v>
      </c>
      <c r="B6">
        <v>1373581</v>
      </c>
      <c r="C6">
        <v>71438</v>
      </c>
    </row>
    <row r="7" spans="1:3" x14ac:dyDescent="0.25">
      <c r="A7">
        <v>6</v>
      </c>
      <c r="B7">
        <v>1642653</v>
      </c>
      <c r="C7">
        <v>89804</v>
      </c>
    </row>
    <row r="8" spans="1:3" x14ac:dyDescent="0.25">
      <c r="A8">
        <v>8</v>
      </c>
      <c r="B8">
        <v>2180800</v>
      </c>
      <c r="C8">
        <v>153120</v>
      </c>
    </row>
    <row r="9" spans="1:3" x14ac:dyDescent="0.25">
      <c r="A9">
        <v>12</v>
      </c>
      <c r="B9">
        <v>3257099</v>
      </c>
      <c r="C9">
        <v>582337</v>
      </c>
    </row>
    <row r="10" spans="1:3" x14ac:dyDescent="0.25">
      <c r="A10">
        <v>16</v>
      </c>
      <c r="B10">
        <v>4333408</v>
      </c>
      <c r="C10">
        <v>2703489</v>
      </c>
    </row>
    <row r="16" spans="1:3" x14ac:dyDescent="0.25">
      <c r="A16" t="s">
        <v>98</v>
      </c>
    </row>
    <row r="17" spans="1:4" x14ac:dyDescent="0.25">
      <c r="A17" t="s">
        <v>88</v>
      </c>
      <c r="B17" t="s">
        <v>89</v>
      </c>
      <c r="C17" t="s">
        <v>90</v>
      </c>
      <c r="D17" t="s">
        <v>91</v>
      </c>
    </row>
    <row r="18" spans="1:4" x14ac:dyDescent="0.25">
      <c r="A18">
        <v>1</v>
      </c>
      <c r="B18">
        <v>32867</v>
      </c>
      <c r="C18">
        <v>34367</v>
      </c>
      <c r="D18">
        <v>37367</v>
      </c>
    </row>
    <row r="19" spans="1:4" x14ac:dyDescent="0.25">
      <c r="A19">
        <v>2</v>
      </c>
      <c r="B19">
        <v>37538</v>
      </c>
      <c r="C19">
        <v>40538</v>
      </c>
      <c r="D19">
        <v>46538</v>
      </c>
    </row>
    <row r="20" spans="1:4" x14ac:dyDescent="0.25">
      <c r="A20">
        <v>3</v>
      </c>
      <c r="B20">
        <v>42961</v>
      </c>
      <c r="C20">
        <v>48211</v>
      </c>
      <c r="D20">
        <v>58711</v>
      </c>
    </row>
    <row r="21" spans="1:4" x14ac:dyDescent="0.25">
      <c r="A21">
        <v>4</v>
      </c>
      <c r="B21">
        <v>49511</v>
      </c>
      <c r="C21">
        <v>58136</v>
      </c>
      <c r="D21">
        <v>75386</v>
      </c>
    </row>
    <row r="22" spans="1:4" x14ac:dyDescent="0.25">
      <c r="A22">
        <v>5</v>
      </c>
      <c r="B22">
        <v>57751</v>
      </c>
      <c r="C22">
        <v>71438</v>
      </c>
      <c r="D22">
        <v>98813</v>
      </c>
    </row>
    <row r="23" spans="1:4" x14ac:dyDescent="0.25">
      <c r="A23">
        <v>6</v>
      </c>
      <c r="B23">
        <v>68523</v>
      </c>
      <c r="C23">
        <v>89804</v>
      </c>
      <c r="D23">
        <v>132366</v>
      </c>
    </row>
    <row r="24" spans="1:4" x14ac:dyDescent="0.25">
      <c r="A24">
        <v>8</v>
      </c>
      <c r="B24">
        <v>103362</v>
      </c>
      <c r="C24">
        <v>153120</v>
      </c>
      <c r="D24">
        <v>252635</v>
      </c>
    </row>
    <row r="25" spans="1:4" x14ac:dyDescent="0.25">
      <c r="A25">
        <v>12</v>
      </c>
      <c r="B25">
        <v>324344</v>
      </c>
      <c r="C25">
        <v>582337</v>
      </c>
      <c r="D25">
        <v>1098322</v>
      </c>
    </row>
    <row r="26" spans="1:4" x14ac:dyDescent="0.25">
      <c r="A26">
        <v>16</v>
      </c>
      <c r="B26">
        <v>1391307</v>
      </c>
      <c r="C26">
        <v>2703489</v>
      </c>
      <c r="D26">
        <v>5327853</v>
      </c>
    </row>
    <row r="29" spans="1:4" x14ac:dyDescent="0.25">
      <c r="A29" t="s">
        <v>99</v>
      </c>
    </row>
    <row r="30" spans="1:4" x14ac:dyDescent="0.25">
      <c r="A30" t="s">
        <v>88</v>
      </c>
      <c r="B30" t="s">
        <v>92</v>
      </c>
      <c r="C30" t="s">
        <v>93</v>
      </c>
      <c r="D30" t="s">
        <v>94</v>
      </c>
    </row>
    <row r="31" spans="1:4" x14ac:dyDescent="0.25">
      <c r="A31">
        <v>1</v>
      </c>
      <c r="B31">
        <v>34367</v>
      </c>
      <c r="C31">
        <v>34367</v>
      </c>
      <c r="D31">
        <v>34367</v>
      </c>
    </row>
    <row r="32" spans="1:4" x14ac:dyDescent="0.25">
      <c r="A32">
        <v>2</v>
      </c>
      <c r="B32">
        <v>40538</v>
      </c>
      <c r="C32">
        <v>40538</v>
      </c>
      <c r="D32">
        <v>40538</v>
      </c>
    </row>
    <row r="33" spans="1:4" x14ac:dyDescent="0.25">
      <c r="A33">
        <v>3</v>
      </c>
      <c r="B33">
        <v>47461</v>
      </c>
      <c r="C33">
        <v>48211</v>
      </c>
      <c r="D33">
        <v>48961</v>
      </c>
    </row>
    <row r="34" spans="1:4" x14ac:dyDescent="0.25">
      <c r="A34">
        <v>4</v>
      </c>
      <c r="B34">
        <v>55324</v>
      </c>
      <c r="C34">
        <v>58136</v>
      </c>
      <c r="D34">
        <v>61324</v>
      </c>
    </row>
    <row r="35" spans="1:4" x14ac:dyDescent="0.25">
      <c r="A35">
        <v>5</v>
      </c>
      <c r="B35">
        <v>64361</v>
      </c>
      <c r="C35">
        <v>71438</v>
      </c>
      <c r="D35">
        <v>80580</v>
      </c>
    </row>
    <row r="36" spans="1:4" x14ac:dyDescent="0.25">
      <c r="A36">
        <v>6</v>
      </c>
      <c r="B36">
        <v>74864</v>
      </c>
      <c r="C36">
        <v>89804</v>
      </c>
      <c r="D36">
        <v>111895</v>
      </c>
    </row>
    <row r="37" spans="1:4" x14ac:dyDescent="0.25">
      <c r="A37">
        <v>8</v>
      </c>
      <c r="B37">
        <v>101827</v>
      </c>
      <c r="C37">
        <v>153120</v>
      </c>
      <c r="D37">
        <v>253666</v>
      </c>
    </row>
    <row r="38" spans="1:4" x14ac:dyDescent="0.25">
      <c r="A38">
        <v>12</v>
      </c>
      <c r="B38">
        <v>197052</v>
      </c>
      <c r="C38">
        <v>582337</v>
      </c>
      <c r="D38">
        <v>1951079</v>
      </c>
    </row>
    <row r="39" spans="1:4" x14ac:dyDescent="0.25">
      <c r="A39">
        <v>16</v>
      </c>
      <c r="B39">
        <v>411188</v>
      </c>
      <c r="C39">
        <v>2703489</v>
      </c>
      <c r="D39">
        <v>17764173</v>
      </c>
    </row>
    <row r="41" spans="1:4" x14ac:dyDescent="0.25">
      <c r="A41" s="14" t="s">
        <v>100</v>
      </c>
    </row>
    <row r="42" spans="1:4" x14ac:dyDescent="0.25">
      <c r="A42" t="s">
        <v>88</v>
      </c>
      <c r="B42" t="s">
        <v>95</v>
      </c>
      <c r="C42" t="s">
        <v>96</v>
      </c>
      <c r="D42" t="s">
        <v>97</v>
      </c>
    </row>
    <row r="43" spans="1:4" x14ac:dyDescent="0.25">
      <c r="A43">
        <v>1</v>
      </c>
      <c r="B43">
        <v>34367</v>
      </c>
      <c r="C43">
        <v>34367</v>
      </c>
      <c r="D43">
        <v>34367</v>
      </c>
    </row>
    <row r="44" spans="1:4" x14ac:dyDescent="0.25">
      <c r="A44">
        <v>2</v>
      </c>
      <c r="B44">
        <v>42038</v>
      </c>
      <c r="C44">
        <v>40538</v>
      </c>
      <c r="D44">
        <v>40538</v>
      </c>
    </row>
    <row r="45" spans="1:4" x14ac:dyDescent="0.25">
      <c r="A45">
        <v>3</v>
      </c>
      <c r="B45">
        <v>51961</v>
      </c>
      <c r="C45">
        <v>48211</v>
      </c>
      <c r="D45">
        <v>46711</v>
      </c>
    </row>
    <row r="46" spans="1:4" x14ac:dyDescent="0.25">
      <c r="A46">
        <v>4</v>
      </c>
      <c r="B46">
        <v>65261</v>
      </c>
      <c r="C46">
        <v>58136</v>
      </c>
      <c r="D46">
        <v>52886</v>
      </c>
    </row>
    <row r="47" spans="1:4" x14ac:dyDescent="0.25">
      <c r="A47">
        <v>5</v>
      </c>
      <c r="B47">
        <v>83626</v>
      </c>
      <c r="C47">
        <v>71438</v>
      </c>
      <c r="D47">
        <v>60563</v>
      </c>
    </row>
    <row r="48" spans="1:4" x14ac:dyDescent="0.25">
      <c r="A48">
        <v>6</v>
      </c>
      <c r="B48">
        <v>109586</v>
      </c>
      <c r="C48">
        <v>89804</v>
      </c>
      <c r="D48">
        <v>70491</v>
      </c>
    </row>
    <row r="49" spans="1:4" x14ac:dyDescent="0.25">
      <c r="A49">
        <v>8</v>
      </c>
      <c r="B49">
        <v>201378</v>
      </c>
      <c r="C49">
        <v>153120</v>
      </c>
      <c r="D49">
        <v>102166</v>
      </c>
    </row>
    <row r="50" spans="1:4" x14ac:dyDescent="0.25">
      <c r="A50">
        <v>12</v>
      </c>
      <c r="B50">
        <v>838830</v>
      </c>
      <c r="C50">
        <v>582337</v>
      </c>
      <c r="D50">
        <v>300010</v>
      </c>
    </row>
    <row r="51" spans="1:4" x14ac:dyDescent="0.25">
      <c r="A51">
        <v>16</v>
      </c>
      <c r="B51">
        <v>4014171</v>
      </c>
      <c r="C51">
        <v>2703489</v>
      </c>
      <c r="D51">
        <v>1249842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B9062-894B-4375-A2A1-C651CC7A24EC}">
  <dimension ref="A1:G8"/>
  <sheetViews>
    <sheetView tabSelected="1" workbookViewId="0">
      <selection activeCell="D14" sqref="D14"/>
    </sheetView>
  </sheetViews>
  <sheetFormatPr defaultRowHeight="13.8" x14ac:dyDescent="0.25"/>
  <cols>
    <col min="1" max="1" width="13.88671875" bestFit="1" customWidth="1"/>
    <col min="2" max="2" width="15.6640625" bestFit="1" customWidth="1"/>
    <col min="3" max="3" width="19.33203125" bestFit="1" customWidth="1"/>
    <col min="4" max="4" width="17.33203125" bestFit="1" customWidth="1"/>
    <col min="5" max="5" width="11.44140625" bestFit="1" customWidth="1"/>
    <col min="6" max="6" width="15.6640625" bestFit="1" customWidth="1"/>
    <col min="7" max="7" width="13" bestFit="1" customWidth="1"/>
  </cols>
  <sheetData>
    <row r="1" spans="1:7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</row>
    <row r="2" spans="1:7" x14ac:dyDescent="0.25">
      <c r="A2">
        <v>1</v>
      </c>
      <c r="B2">
        <v>0.74399999999999999</v>
      </c>
      <c r="C2">
        <v>0.57099999999999995</v>
      </c>
      <c r="D2">
        <v>0.81699999999999995</v>
      </c>
      <c r="E2">
        <v>68146</v>
      </c>
      <c r="F2">
        <v>52065</v>
      </c>
      <c r="G2">
        <v>48136</v>
      </c>
    </row>
    <row r="3" spans="1:7" x14ac:dyDescent="0.25">
      <c r="A3">
        <v>2</v>
      </c>
      <c r="B3">
        <v>0.82799999999999996</v>
      </c>
      <c r="C3">
        <v>0.68899999999999995</v>
      </c>
      <c r="D3">
        <v>0.85499999999999998</v>
      </c>
      <c r="E3">
        <v>92692</v>
      </c>
      <c r="F3">
        <v>52090</v>
      </c>
      <c r="G3">
        <v>48136</v>
      </c>
    </row>
    <row r="4" spans="1:7" x14ac:dyDescent="0.25">
      <c r="A4">
        <v>5</v>
      </c>
      <c r="B4">
        <v>1.0760000000000001</v>
      </c>
      <c r="C4">
        <v>0.622</v>
      </c>
      <c r="D4">
        <v>0.88400000000000001</v>
      </c>
      <c r="E4">
        <v>166341</v>
      </c>
      <c r="F4">
        <v>52165</v>
      </c>
      <c r="G4">
        <v>48136</v>
      </c>
    </row>
    <row r="5" spans="1:7" x14ac:dyDescent="0.25">
      <c r="A5">
        <v>10</v>
      </c>
      <c r="B5">
        <v>1.4590000000000001</v>
      </c>
      <c r="C5">
        <v>0.56999999999999995</v>
      </c>
      <c r="D5">
        <v>0.98599999999999999</v>
      </c>
      <c r="E5">
        <v>289113</v>
      </c>
      <c r="F5">
        <v>52290</v>
      </c>
      <c r="G5">
        <v>48136</v>
      </c>
    </row>
    <row r="6" spans="1:7" x14ac:dyDescent="0.25">
      <c r="A6">
        <v>20</v>
      </c>
      <c r="B6">
        <v>2.2130000000000001</v>
      </c>
      <c r="C6">
        <v>0.60199999999999998</v>
      </c>
      <c r="D6">
        <v>1.26</v>
      </c>
      <c r="E6">
        <v>534753</v>
      </c>
      <c r="F6">
        <v>52540</v>
      </c>
      <c r="G6">
        <v>48136</v>
      </c>
    </row>
    <row r="7" spans="1:7" x14ac:dyDescent="0.25">
      <c r="A7">
        <v>50</v>
      </c>
      <c r="B7">
        <v>4.4539999999999997</v>
      </c>
      <c r="C7">
        <v>0.58799999999999997</v>
      </c>
      <c r="D7">
        <v>1.829</v>
      </c>
      <c r="E7">
        <v>1272431</v>
      </c>
      <c r="F7">
        <v>53290</v>
      </c>
      <c r="G7">
        <v>48136</v>
      </c>
    </row>
    <row r="8" spans="1:7" x14ac:dyDescent="0.25">
      <c r="A8">
        <v>100</v>
      </c>
      <c r="B8">
        <v>8.1519999999999992</v>
      </c>
      <c r="C8">
        <v>0.63900000000000001</v>
      </c>
      <c r="D8">
        <v>2.9670000000000001</v>
      </c>
      <c r="E8">
        <v>2504426</v>
      </c>
      <c r="F8">
        <v>54540</v>
      </c>
      <c r="G8">
        <v>48136</v>
      </c>
    </row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zoomScale="190" zoomScaleNormal="190" workbookViewId="0">
      <selection activeCell="B6" sqref="B6"/>
    </sheetView>
  </sheetViews>
  <sheetFormatPr defaultRowHeight="13.8" x14ac:dyDescent="0.25"/>
  <cols>
    <col min="1" max="1" width="12.5546875" bestFit="1" customWidth="1"/>
    <col min="2" max="2" width="12" style="12" bestFit="1" customWidth="1"/>
    <col min="3" max="3" width="11.5546875" style="12" bestFit="1" customWidth="1"/>
    <col min="4" max="4" width="13.88671875" style="12" bestFit="1" customWidth="1"/>
  </cols>
  <sheetData>
    <row r="1" spans="1:4" x14ac:dyDescent="0.25">
      <c r="A1" s="1" t="s">
        <v>0</v>
      </c>
      <c r="B1" s="1" t="s">
        <v>10</v>
      </c>
      <c r="C1" s="1" t="s">
        <v>11</v>
      </c>
      <c r="D1" s="1" t="s">
        <v>12</v>
      </c>
    </row>
    <row r="2" spans="1:4" x14ac:dyDescent="0.25">
      <c r="A2" s="2" t="s">
        <v>2</v>
      </c>
      <c r="B2" s="8" t="s">
        <v>76</v>
      </c>
      <c r="C2" s="2" t="s">
        <v>14</v>
      </c>
      <c r="D2" s="2" t="s">
        <v>14</v>
      </c>
    </row>
    <row r="3" spans="1:4" x14ac:dyDescent="0.25">
      <c r="A3" s="2" t="s">
        <v>3</v>
      </c>
      <c r="B3" s="2" t="s">
        <v>15</v>
      </c>
      <c r="C3" s="2" t="s">
        <v>16</v>
      </c>
      <c r="D3" s="2" t="s">
        <v>17</v>
      </c>
    </row>
    <row r="4" spans="1:4" x14ac:dyDescent="0.25">
      <c r="A4" s="2" t="s">
        <v>4</v>
      </c>
      <c r="B4" s="2" t="s">
        <v>18</v>
      </c>
      <c r="C4" s="2" t="s">
        <v>19</v>
      </c>
      <c r="D4" s="2" t="s">
        <v>14</v>
      </c>
    </row>
    <row r="5" spans="1:4" x14ac:dyDescent="0.25">
      <c r="A5" s="2" t="s">
        <v>5</v>
      </c>
      <c r="B5" s="2" t="s">
        <v>20</v>
      </c>
      <c r="C5" s="2" t="s">
        <v>13</v>
      </c>
      <c r="D5" s="2" t="s">
        <v>16</v>
      </c>
    </row>
    <row r="6" spans="1:4" x14ac:dyDescent="0.25">
      <c r="A6" s="2" t="s">
        <v>6</v>
      </c>
      <c r="B6" s="2" t="s">
        <v>19</v>
      </c>
      <c r="C6" s="2" t="s">
        <v>21</v>
      </c>
      <c r="D6" s="2" t="s">
        <v>22</v>
      </c>
    </row>
    <row r="7" spans="1:4" x14ac:dyDescent="0.25">
      <c r="A7" s="2" t="s">
        <v>7</v>
      </c>
      <c r="B7" s="2" t="s">
        <v>23</v>
      </c>
      <c r="C7" s="2" t="s">
        <v>24</v>
      </c>
      <c r="D7" s="2" t="s">
        <v>25</v>
      </c>
    </row>
    <row r="8" spans="1:4" x14ac:dyDescent="0.25">
      <c r="A8" s="2" t="s">
        <v>8</v>
      </c>
      <c r="B8" s="8" t="s">
        <v>26</v>
      </c>
      <c r="C8" s="2" t="s">
        <v>27</v>
      </c>
      <c r="D8" s="2" t="s">
        <v>23</v>
      </c>
    </row>
    <row r="9" spans="1:4" x14ac:dyDescent="0.25">
      <c r="A9" s="2" t="s">
        <v>9</v>
      </c>
      <c r="B9" s="2" t="s">
        <v>28</v>
      </c>
      <c r="C9" s="2" t="s">
        <v>29</v>
      </c>
      <c r="D9" s="2" t="s">
        <v>29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zoomScale="205" zoomScaleNormal="205" workbookViewId="0">
      <selection activeCell="F9" sqref="F9"/>
    </sheetView>
  </sheetViews>
  <sheetFormatPr defaultRowHeight="13.8" x14ac:dyDescent="0.25"/>
  <cols>
    <col min="1" max="1" width="12.5546875" bestFit="1" customWidth="1"/>
    <col min="2" max="2" width="9.6640625" bestFit="1" customWidth="1"/>
    <col min="3" max="3" width="9.33203125" bestFit="1" customWidth="1"/>
    <col min="4" max="4" width="12.88671875" bestFit="1" customWidth="1"/>
    <col min="5" max="5" width="13.88671875" bestFit="1" customWidth="1"/>
  </cols>
  <sheetData>
    <row r="1" spans="1:5" x14ac:dyDescent="0.25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</row>
    <row r="2" spans="1:5" x14ac:dyDescent="0.25">
      <c r="A2" s="2" t="s">
        <v>2</v>
      </c>
      <c r="B2" s="6">
        <v>25408</v>
      </c>
      <c r="C2" s="6">
        <v>21736</v>
      </c>
      <c r="D2" s="7" t="s">
        <v>34</v>
      </c>
      <c r="E2" s="2" t="s">
        <v>35</v>
      </c>
    </row>
    <row r="3" spans="1:5" x14ac:dyDescent="0.25">
      <c r="A3" s="2" t="s">
        <v>3</v>
      </c>
      <c r="B3" s="6">
        <v>25801</v>
      </c>
      <c r="C3" s="6">
        <v>22846</v>
      </c>
      <c r="D3" s="7" t="s">
        <v>36</v>
      </c>
      <c r="E3" s="2" t="s">
        <v>37</v>
      </c>
    </row>
    <row r="4" spans="1:5" x14ac:dyDescent="0.25">
      <c r="A4" s="2" t="s">
        <v>4</v>
      </c>
      <c r="B4" s="6">
        <v>25801</v>
      </c>
      <c r="C4" s="6">
        <v>113059</v>
      </c>
      <c r="D4" s="7" t="s">
        <v>38</v>
      </c>
      <c r="E4" s="2" t="s">
        <v>39</v>
      </c>
    </row>
    <row r="5" spans="1:5" x14ac:dyDescent="0.25">
      <c r="A5" s="2" t="s">
        <v>5</v>
      </c>
      <c r="B5" s="6">
        <v>48522</v>
      </c>
      <c r="C5" s="6">
        <v>93643</v>
      </c>
      <c r="D5" s="7" t="s">
        <v>40</v>
      </c>
      <c r="E5" s="2" t="s">
        <v>41</v>
      </c>
    </row>
    <row r="6" spans="1:5" x14ac:dyDescent="0.25">
      <c r="A6" s="2" t="s">
        <v>6</v>
      </c>
      <c r="B6" s="6">
        <v>226586</v>
      </c>
      <c r="C6" s="6">
        <v>378560</v>
      </c>
      <c r="D6" s="7" t="s">
        <v>42</v>
      </c>
      <c r="E6" s="2" t="s">
        <v>43</v>
      </c>
    </row>
    <row r="7" spans="1:5" x14ac:dyDescent="0.25">
      <c r="A7" s="2" t="s">
        <v>7</v>
      </c>
      <c r="B7" s="6">
        <v>225695</v>
      </c>
      <c r="C7" s="6">
        <v>853145</v>
      </c>
      <c r="D7" s="7" t="s">
        <v>44</v>
      </c>
      <c r="E7" s="2" t="s">
        <v>45</v>
      </c>
    </row>
    <row r="8" spans="1:5" x14ac:dyDescent="0.25">
      <c r="A8" s="2" t="s">
        <v>8</v>
      </c>
      <c r="B8" s="6">
        <v>229437</v>
      </c>
      <c r="C8" s="6">
        <v>2301691</v>
      </c>
      <c r="D8" s="7" t="s">
        <v>46</v>
      </c>
      <c r="E8" s="2" t="s">
        <v>47</v>
      </c>
    </row>
    <row r="9" spans="1:5" x14ac:dyDescent="0.25">
      <c r="A9" s="2" t="s">
        <v>9</v>
      </c>
      <c r="B9" s="6">
        <v>32306</v>
      </c>
      <c r="C9" s="6">
        <v>34103</v>
      </c>
      <c r="D9" s="7" t="s">
        <v>48</v>
      </c>
      <c r="E9" s="2" t="s">
        <v>49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zoomScale="175" zoomScaleNormal="175" workbookViewId="0">
      <selection activeCell="C16" sqref="C16"/>
    </sheetView>
  </sheetViews>
  <sheetFormatPr defaultRowHeight="13.8" x14ac:dyDescent="0.25"/>
  <cols>
    <col min="1" max="1" width="16.6640625" style="12" bestFit="1" customWidth="1"/>
    <col min="2" max="2" width="9.5546875" style="12" bestFit="1" customWidth="1"/>
    <col min="3" max="3" width="15.33203125" style="12" bestFit="1" customWidth="1"/>
    <col min="4" max="4" width="17.6640625" style="12" bestFit="1" customWidth="1"/>
    <col min="5" max="5" width="12.6640625" style="12" bestFit="1" customWidth="1"/>
    <col min="6" max="6" width="16.109375" style="12" bestFit="1" customWidth="1"/>
  </cols>
  <sheetData>
    <row r="1" spans="1:6" ht="27.6" x14ac:dyDescent="0.25">
      <c r="A1" s="3" t="s">
        <v>50</v>
      </c>
      <c r="B1" s="10" t="s">
        <v>51</v>
      </c>
      <c r="C1" s="10" t="s">
        <v>52</v>
      </c>
      <c r="D1" s="10"/>
      <c r="E1" s="3"/>
      <c r="F1" s="3"/>
    </row>
    <row r="2" spans="1:6" x14ac:dyDescent="0.25">
      <c r="A2" s="4" t="s">
        <v>2</v>
      </c>
      <c r="B2" s="9" t="s">
        <v>53</v>
      </c>
      <c r="C2" s="9" t="s">
        <v>54</v>
      </c>
      <c r="D2" s="11"/>
      <c r="E2" s="5"/>
      <c r="F2" s="4"/>
    </row>
    <row r="3" spans="1:6" x14ac:dyDescent="0.25">
      <c r="A3" s="4" t="s">
        <v>3</v>
      </c>
      <c r="B3" s="9" t="s">
        <v>55</v>
      </c>
      <c r="C3" s="9" t="s">
        <v>56</v>
      </c>
      <c r="D3" s="11"/>
      <c r="E3" s="5"/>
      <c r="F3" s="4"/>
    </row>
    <row r="4" spans="1:6" x14ac:dyDescent="0.25">
      <c r="A4" s="4" t="s">
        <v>4</v>
      </c>
      <c r="B4" s="9" t="s">
        <v>53</v>
      </c>
      <c r="C4" s="9" t="s">
        <v>57</v>
      </c>
      <c r="D4" s="11"/>
      <c r="E4" s="5"/>
      <c r="F4" s="4"/>
    </row>
    <row r="5" spans="1:6" x14ac:dyDescent="0.25">
      <c r="A5" s="4" t="s">
        <v>5</v>
      </c>
      <c r="B5" s="9" t="s">
        <v>58</v>
      </c>
      <c r="C5" s="9" t="s">
        <v>59</v>
      </c>
      <c r="D5" s="11"/>
      <c r="E5" s="5"/>
      <c r="F5" s="4"/>
    </row>
    <row r="6" spans="1:6" x14ac:dyDescent="0.25">
      <c r="A6" s="4" t="s">
        <v>6</v>
      </c>
      <c r="B6" s="9" t="s">
        <v>60</v>
      </c>
      <c r="C6" s="9" t="s">
        <v>61</v>
      </c>
      <c r="D6" s="11"/>
      <c r="E6" s="5"/>
      <c r="F6" s="4"/>
    </row>
    <row r="7" spans="1:6" x14ac:dyDescent="0.25">
      <c r="A7" s="4" t="s">
        <v>7</v>
      </c>
      <c r="B7" s="9" t="s">
        <v>62</v>
      </c>
      <c r="C7" s="9" t="s">
        <v>63</v>
      </c>
      <c r="D7" s="11"/>
      <c r="E7" s="5"/>
      <c r="F7" s="4"/>
    </row>
    <row r="8" spans="1:6" x14ac:dyDescent="0.25">
      <c r="A8" s="4" t="s">
        <v>8</v>
      </c>
      <c r="B8" s="9" t="s">
        <v>64</v>
      </c>
      <c r="C8" s="9" t="s">
        <v>65</v>
      </c>
      <c r="D8" s="11"/>
      <c r="E8" s="5"/>
      <c r="F8" s="4"/>
    </row>
    <row r="9" spans="1:6" x14ac:dyDescent="0.25">
      <c r="A9" s="4" t="s">
        <v>9</v>
      </c>
      <c r="B9" s="9" t="s">
        <v>53</v>
      </c>
      <c r="C9" s="9" t="s">
        <v>66</v>
      </c>
      <c r="D9" s="11"/>
      <c r="E9" s="5"/>
      <c r="F9" s="4"/>
    </row>
    <row r="14" spans="1:6" x14ac:dyDescent="0.25">
      <c r="D14" s="10"/>
    </row>
    <row r="15" spans="1:6" x14ac:dyDescent="0.25">
      <c r="D15" s="9"/>
    </row>
    <row r="16" spans="1:6" x14ac:dyDescent="0.25">
      <c r="D16" s="9"/>
    </row>
    <row r="17" spans="4:4" x14ac:dyDescent="0.25">
      <c r="D17" s="9"/>
    </row>
    <row r="18" spans="4:4" x14ac:dyDescent="0.25">
      <c r="D18" s="9"/>
    </row>
    <row r="19" spans="4:4" x14ac:dyDescent="0.25">
      <c r="D19" s="9"/>
    </row>
    <row r="20" spans="4:4" x14ac:dyDescent="0.25">
      <c r="D20" s="9"/>
    </row>
    <row r="21" spans="4:4" x14ac:dyDescent="0.25">
      <c r="D21" s="9"/>
    </row>
    <row r="22" spans="4:4" x14ac:dyDescent="0.25">
      <c r="D22" s="9"/>
    </row>
  </sheetData>
  <phoneticPr fontId="3" type="noConversion"/>
  <pageMargins left="0.7" right="0.7" top="0.75" bottom="0.75" header="0.3" footer="0.3"/>
</worksheet>
</file>

<file path=xl/worksheets/sheet6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300-000000000000}">
  <ns0:dimension ref="A1:C9"/>
  <ns0:sheetViews>
    <ns0:sheetView zoomScale="160" zoomScaleNormal="160" workbookViewId="0">
      <ns0:selection activeCell="B1" sqref="B1:C9"/>
    </ns0:sheetView>
  </ns0:sheetViews>
  <ns0:sheetFormatPr defaultRowHeight="13.8" ns3:dyDescent="0.25"/>
  <ns0:cols>
    <ns0:col min="1" max="1" width="16.6640625" style="12" bestFit="1" customWidth="1"/>
    <ns0:col min="2" max="2" width="19.109375" style="12" bestFit="1" customWidth="1"/>
    <ns0:col min="3" max="3" width="17.6640625" style="12" bestFit="1" customWidth="1"/>
  </ns0:cols>
  <ns0:sheetData>
    <ns0:row r="1" spans="1:3" ns3:dyDescent="0.25">
      <ns0:c r="A1" s="3" t="s">
        <ns0:v>0</ns0:v>
      </ns0:c>
      <ns0:c r="B1" s="10" t="s">
        <ns0:v>77</ns0:v>
      </ns0:c>
      <ns0:c r="C1" s="10" t="s">
        <ns0:v>1</ns0:v>
      </ns0:c>
    </ns0:row>
    <ns0:row r="2" spans="1:3" ns3:dyDescent="0.25">
      <ns0:c r="A2" s="4" t="s">
        <ns0:v>2</ns0:v>
      </ns0:c>
      <ns0:c r="B2" s="11" t="n">
        <ns0:v>154268</ns0:v>
      </ns0:c>
      <ns0:c r="C2" s="11" t="n">
        <ns0:v>90309</ns0:v>
      </ns0:c>
    </ns0:row>
    <ns0:row r="3" spans="1:3" ns3:dyDescent="0.25">
      <ns0:c r="A3" s="4" t="s">
        <ns0:v>3</ns0:v>
      </ns0:c>
      <ns0:c r="B3" s="11" t="n">
        <ns0:v>128168</ns0:v>
      </ns0:c>
      <ns0:c r="C3" s="11" t="n">
        <ns0:v>130661</ns0:v>
      </ns0:c>
    </ns0:row>
    <ns0:row r="4" spans="1:3" ns3:dyDescent="0.25">
      <ns0:c r="A4" s="4" t="s">
        <ns0:v>4</ns0:v>
      </ns0:c>
      <ns0:c r="B4" s="11" t="n">
        <ns0:v>130860</ns0:v>
      </ns0:c>
      <ns0:c r="C4" s="11" t="n">
        <ns0:v>856731</ns0:v>
      </ns0:c>
    </ns0:row>
    <ns0:row r="5" spans="1:3" ns3:dyDescent="0.25">
      <ns0:c r="A5" s="4" t="s">
        <ns0:v>5</ns0:v>
      </ns0:c>
      <ns0:c r="B5" s="11" t="n">
        <ns0:v>175668</ns0:v>
      </ns0:c>
      <ns0:c r="C5" s="11" t="n">
        <ns0:v>388984</ns0:v>
      </ns0:c>
    </ns0:row>
    <ns0:row r="6" spans="1:3" ns3:dyDescent="0.25">
      <ns0:c r="A6" s="4" t="s">
        <ns0:v>6</ns0:v>
      </ns0:c>
      <ns0:c r="B6" s="11" t="n">
        <ns0:v>503168</ns0:v>
      </ns0:c>
      <ns0:c r="C6" s="11" t="n">
        <ns0:v>590802</ns0:v>
      </ns0:c>
    </ns0:row>
    <ns0:row r="7" spans="1:3" ns3:dyDescent="0.25">
      <ns0:c r="A7" s="4" t="s">
        <ns0:v>7</ns0:v>
      </ns0:c>
      <ns0:c r="B7" s="11" t="n">
        <ns0:v>528744</ns0:v>
      </ns0:c>
      <ns0:c r="C7" s="11" t="n">
        <ns0:v>721410</ns0:v>
      </ns0:c>
    </ns0:row>
    <ns0:row r="8" spans="1:3" ns3:dyDescent="0.25">
      <ns0:c r="A8" s="4" t="s">
        <ns0:v>8</ns0:v>
      </ns0:c>
      <ns0:c r="B8" s="11" t="n">
        <ns0:v>531232</ns0:v>
      </ns0:c>
      <ns0:c r="C8" s="11" t="n">
        <ns0:v>967127</ns0:v>
      </ns0:c>
    </ns0:row>
    <ns0:row r="9" spans="1:3" ns3:dyDescent="0.25">
      <ns0:c r="A9" s="4" t="s">
        <ns0:v>9</ns0:v>
      </ns0:c>
      <ns0:c r="B9" s="11" t="n">
        <ns0:v>120372</ns0:v>
      </ns0:c>
      <ns0:c r="C9" s="11" t="n">
        <ns0:v>270187</ns0:v>
      </ns0:c>
    </ns0:row>
  </ns0:sheetData>
  <ns0:phoneticPr fontId="3" type="noConversion"/>
  <ns0:pageMargins left="0.7" right="0.7" top="0.75" bottom="0.75" header="0.3" footer="0.3"/>
</ns0: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60F54-15B5-4655-B71C-D0C12054C819}">
  <dimension ref="A1:D7"/>
  <sheetViews>
    <sheetView zoomScale="175" zoomScaleNormal="235" workbookViewId="0">
      <selection activeCell="B6" sqref="B6"/>
    </sheetView>
  </sheetViews>
  <sheetFormatPr defaultRowHeight="13.8" x14ac:dyDescent="0.25"/>
  <cols>
    <col min="1" max="1" width="23.88671875" bestFit="1" customWidth="1"/>
    <col min="2" max="2" width="11.109375" bestFit="1" customWidth="1"/>
    <col min="3" max="3" width="12.88671875" bestFit="1" customWidth="1"/>
    <col min="4" max="4" width="13.33203125" style="13" customWidth="1"/>
  </cols>
  <sheetData>
    <row r="1" spans="1:4" x14ac:dyDescent="0.25">
      <c r="A1" t="s">
        <v>0</v>
      </c>
      <c r="B1" t="s">
        <v>67</v>
      </c>
      <c r="C1" t="s">
        <v>68</v>
      </c>
      <c r="D1" s="13" t="s">
        <v>75</v>
      </c>
    </row>
    <row r="2" spans="1:4" x14ac:dyDescent="0.25">
      <c r="A2" t="s">
        <v>69</v>
      </c>
      <c r="B2">
        <v>0.106</v>
      </c>
      <c r="C2">
        <v>0.22600000000000001</v>
      </c>
      <c r="D2" s="13">
        <f>C2/B2</f>
        <v>2.1320754716981134</v>
      </c>
    </row>
    <row r="3" spans="1:4" x14ac:dyDescent="0.25">
      <c r="A3" t="s">
        <v>70</v>
      </c>
      <c r="B3">
        <v>0.14099999999999999</v>
      </c>
      <c r="C3">
        <v>0.28199999999999997</v>
      </c>
      <c r="D3" s="13">
        <f t="shared" ref="D3:D7" si="0">C3/B3</f>
        <v>2</v>
      </c>
    </row>
    <row r="4" spans="1:4" x14ac:dyDescent="0.25">
      <c r="A4" t="s">
        <v>71</v>
      </c>
      <c r="B4">
        <v>0.14099999999999999</v>
      </c>
      <c r="C4">
        <v>0.28599999999999998</v>
      </c>
      <c r="D4" s="13">
        <f t="shared" si="0"/>
        <v>2.0283687943262412</v>
      </c>
    </row>
    <row r="5" spans="1:4" x14ac:dyDescent="0.25">
      <c r="A5" t="s">
        <v>72</v>
      </c>
      <c r="B5">
        <v>3.964</v>
      </c>
      <c r="C5">
        <v>7.585</v>
      </c>
      <c r="D5" s="13">
        <f t="shared" si="0"/>
        <v>1.9134712411705348</v>
      </c>
    </row>
    <row r="6" spans="1:4" x14ac:dyDescent="0.25">
      <c r="A6" t="s">
        <v>74</v>
      </c>
      <c r="B6">
        <v>3.5179999999999998</v>
      </c>
      <c r="C6">
        <v>24.809000000000001</v>
      </c>
      <c r="D6" s="13">
        <f t="shared" si="0"/>
        <v>7.0520181921546339</v>
      </c>
    </row>
    <row r="7" spans="1:4" x14ac:dyDescent="0.25">
      <c r="A7" t="s">
        <v>73</v>
      </c>
      <c r="B7">
        <v>2.1819999999999999</v>
      </c>
      <c r="C7">
        <v>11.676</v>
      </c>
      <c r="D7" s="13">
        <f t="shared" si="0"/>
        <v>5.3510540788267651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PBKDF2 手续费用实验</vt:lpstr>
      <vt:lpstr>PBKDF2 执行时间对比						</vt:lpstr>
      <vt:lpstr>执行效率</vt:lpstr>
      <vt:lpstr>执行消耗gas</vt:lpstr>
      <vt:lpstr>升级效率</vt:lpstr>
      <vt:lpstr>升级消耗Gas</vt:lpstr>
      <vt:lpstr>复杂算法实验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 Liu</dc:creator>
  <cp:lastModifiedBy>Qi Liu</cp:lastModifiedBy>
  <cp:lastPrinted>2026-09-22T06:14:28Z</cp:lastPrinted>
  <dcterms:created xsi:type="dcterms:W3CDTF">2026-09-13T01:26:54Z</dcterms:created>
  <dcterms:modified xsi:type="dcterms:W3CDTF">2026-10-23T02:21:29Z</dcterms:modified>
</cp:coreProperties>
</file>