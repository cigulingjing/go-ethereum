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PBKDF2 手续费用实验" sheetId="1" state="visible" r:id="rId1"/>
    <sheet xmlns:r="http://schemas.openxmlformats.org/officeDocument/2006/relationships" name="PBKDF2 执行时间对比_x0009__x0009__x0009__x0009__x0009__x0009_" sheetId="2" state="visible" r:id="rId2"/>
    <sheet xmlns:r="http://schemas.openxmlformats.org/officeDocument/2006/relationships" name="执行效率" sheetId="3" state="visible" r:id="rId3"/>
    <sheet xmlns:r="http://schemas.openxmlformats.org/officeDocument/2006/relationships" name="执行消耗gas" sheetId="4" state="visible" r:id="rId4"/>
    <sheet xmlns:r="http://schemas.openxmlformats.org/officeDocument/2006/relationships" name="升级效率" sheetId="5" state="visible" r:id="rId5"/>
    <sheet xmlns:r="http://schemas.openxmlformats.org/officeDocument/2006/relationships" name="升级消耗Gas" sheetId="6" state="visible" r:id="rId6"/>
    <sheet xmlns:r="http://schemas.openxmlformats.org/officeDocument/2006/relationships" name="复杂算法实验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_ "/>
  </numFmts>
  <fonts count="6">
    <font>
      <name val="等线"/>
      <charset val="134"/>
      <family val="2"/>
      <color theme="1"/>
      <sz val="11"/>
      <scheme val="minor"/>
    </font>
    <font>
      <name val="Segoe UI"/>
      <family val="2"/>
      <color rgb="FF141414"/>
      <sz val="8"/>
    </font>
    <font>
      <name val="Segoe UI"/>
      <family val="2"/>
      <color rgb="FF141414"/>
      <sz val="8"/>
    </font>
    <font>
      <name val="等线"/>
      <charset val="134"/>
      <family val="2"/>
      <sz val="9"/>
      <scheme val="minor"/>
    </font>
    <font>
      <name val="等线"/>
      <charset val="134"/>
      <family val="3"/>
      <b val="1"/>
      <color theme="1"/>
      <sz val="11"/>
      <scheme val="minor"/>
    </font>
    <font>
      <name val="Segoe UI"/>
      <family val="2"/>
      <color rgb="FF141414"/>
      <sz val="8"/>
    </font>
  </fonts>
  <fills count="3">
    <fill>
      <patternFill/>
    </fill>
    <fill>
      <patternFill patternType="gray125"/>
    </fill>
    <fill>
      <patternFill patternType="solid">
        <fgColor rgb="FFF8F8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3" fontId="0" fillId="0" borderId="0" applyAlignment="1" pivotButton="0" quotePrefix="0" xfId="0">
      <alignment vertical="center" wrapText="1"/>
    </xf>
    <xf numFmtId="3" fontId="2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3" fontId="0" fillId="0" borderId="0" applyAlignment="1" pivotButton="0" quotePrefix="0" xfId="0">
      <alignment horizontal="right" vertical="center" wrapText="1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Gas</a:t>
            </a:r>
            <a:r>
              <a:rPr lang="zh-CN" altLang="en-US"/>
              <a:t>费用数据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zh-CN"/>
        </a:p>
      </txPr>
    </title>
    <plotArea>
      <layout/>
      <lineChart>
        <grouping val="standard"/>
        <varyColors val="0"/>
        <ser>
          <idx val="1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'PBKDF2 手续费用实验'!$A$2:$A$10</f>
              <numCache>
                <formatCode>General</formatCode>
                <ptCount val="9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8</v>
                </pt>
                <pt idx="7">
                  <v>12</v>
                </pt>
                <pt idx="8">
                  <v>16</v>
                </pt>
              </numCache>
            </numRef>
          </cat>
          <val>
            <numRef>
              <f>'PBKDF2 手续费用实验'!$B$2:$B$10</f>
              <numCache>
                <formatCode>General</formatCode>
                <ptCount val="9"/>
                <pt idx="0">
                  <v>297297</v>
                </pt>
                <pt idx="1">
                  <v>566367</v>
                </pt>
                <pt idx="2">
                  <v>835438</v>
                </pt>
                <pt idx="3">
                  <v>1104509</v>
                </pt>
                <pt idx="4">
                  <v>1373581</v>
                </pt>
                <pt idx="5">
                  <v>1642653</v>
                </pt>
                <pt idx="6">
                  <v>2180800</v>
                </pt>
                <pt idx="7">
                  <v>3257099</v>
                </pt>
                <pt idx="8">
                  <v>4333408</v>
                </pt>
              </numCache>
            </numRef>
          </val>
          <smooth val="0"/>
        </ser>
        <ser>
          <idx val="2"/>
          <order val="1"/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'PBKDF2 手续费用实验'!$A$2:$A$10</f>
              <numCache>
                <formatCode>General</formatCode>
                <ptCount val="9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8</v>
                </pt>
                <pt idx="7">
                  <v>12</v>
                </pt>
                <pt idx="8">
                  <v>16</v>
                </pt>
              </numCache>
            </numRef>
          </cat>
          <val>
            <numRef>
              <f>'PBKDF2 手续费用实验'!$C$2:$C$10</f>
              <numCache>
                <formatCode>General</formatCode>
                <ptCount val="9"/>
                <pt idx="0">
                  <v>34367</v>
                </pt>
                <pt idx="1">
                  <v>40538</v>
                </pt>
                <pt idx="2">
                  <v>48211</v>
                </pt>
                <pt idx="3">
                  <v>58136</v>
                </pt>
                <pt idx="4">
                  <v>71438</v>
                </pt>
                <pt idx="5">
                  <v>89804</v>
                </pt>
                <pt idx="6">
                  <v>153120</v>
                </pt>
                <pt idx="7">
                  <v>582337</v>
                </pt>
                <pt idx="8">
                  <v>2703489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90087519"/>
        <axId val="590071199"/>
      </lineChart>
      <catAx>
        <axId val="5900875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zh-CN"/>
          </a:p>
        </txPr>
        <crossAx val="590071199"/>
        <crosses val="autoZero"/>
        <auto val="1"/>
        <lblAlgn val="ctr"/>
        <lblOffset val="100"/>
        <noMultiLvlLbl val="0"/>
      </catAx>
      <valAx>
        <axId val="59007119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zh-CN"/>
          </a:p>
        </txPr>
        <crossAx val="590087519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zh-CN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'PBKDF2 手续费用实验'!$B$17</f>
              <strCache>
                <ptCount val="1"/>
                <pt idx="0">
                  <v>g₀=1500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'PBKDF2 手续费用实验'!$A$18:$A$26</f>
              <numCache>
                <formatCode>General</formatCode>
                <ptCount val="9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8</v>
                </pt>
                <pt idx="7">
                  <v>12</v>
                </pt>
                <pt idx="8">
                  <v>16</v>
                </pt>
              </numCache>
            </numRef>
          </cat>
          <val>
            <numRef>
              <f>'PBKDF2 手续费用实验'!$B$18:$B$27</f>
              <numCache>
                <formatCode>General</formatCode>
                <ptCount val="10"/>
                <pt idx="0">
                  <v>32867</v>
                </pt>
                <pt idx="1">
                  <v>37538</v>
                </pt>
                <pt idx="2">
                  <v>42961</v>
                </pt>
                <pt idx="3">
                  <v>49511</v>
                </pt>
                <pt idx="4">
                  <v>57751</v>
                </pt>
                <pt idx="5">
                  <v>68523</v>
                </pt>
                <pt idx="6">
                  <v>103362</v>
                </pt>
                <pt idx="7">
                  <v>324344</v>
                </pt>
                <pt idx="8">
                  <v>1391307</v>
                </pt>
              </numCache>
            </numRef>
          </val>
          <smooth val="0"/>
        </ser>
        <ser>
          <idx val="1"/>
          <order val="1"/>
          <tx>
            <strRef>
              <f>'PBKDF2 手续费用实验'!$C$17</f>
              <strCache>
                <ptCount val="1"/>
                <pt idx="0">
                  <v>g₀=3000（基线）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'PBKDF2 手续费用实验'!$A$18:$A$26</f>
              <numCache>
                <formatCode>General</formatCode>
                <ptCount val="9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8</v>
                </pt>
                <pt idx="7">
                  <v>12</v>
                </pt>
                <pt idx="8">
                  <v>16</v>
                </pt>
              </numCache>
            </numRef>
          </cat>
          <val>
            <numRef>
              <f>'PBKDF2 手续费用实验'!$C$18:$C$27</f>
              <numCache>
                <formatCode>General</formatCode>
                <ptCount val="10"/>
                <pt idx="0">
                  <v>34367</v>
                </pt>
                <pt idx="1">
                  <v>40538</v>
                </pt>
                <pt idx="2">
                  <v>48211</v>
                </pt>
                <pt idx="3">
                  <v>58136</v>
                </pt>
                <pt idx="4">
                  <v>71438</v>
                </pt>
                <pt idx="5">
                  <v>89804</v>
                </pt>
                <pt idx="6">
                  <v>153120</v>
                </pt>
                <pt idx="7">
                  <v>582337</v>
                </pt>
                <pt idx="8">
                  <v>2703489</v>
                </pt>
              </numCache>
            </numRef>
          </val>
          <smooth val="0"/>
        </ser>
        <ser>
          <idx val="2"/>
          <order val="2"/>
          <tx>
            <strRef>
              <f>'PBKDF2 手续费用实验'!$D$17</f>
              <strCache>
                <ptCount val="1"/>
                <pt idx="0">
                  <v>g₀=6000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'PBKDF2 手续费用实验'!$A$18:$A$26</f>
              <numCache>
                <formatCode>General</formatCode>
                <ptCount val="9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8</v>
                </pt>
                <pt idx="7">
                  <v>12</v>
                </pt>
                <pt idx="8">
                  <v>16</v>
                </pt>
              </numCache>
            </numRef>
          </cat>
          <val>
            <numRef>
              <f>'PBKDF2 手续费用实验'!$D$18:$D$27</f>
              <numCache>
                <formatCode>General</formatCode>
                <ptCount val="10"/>
                <pt idx="0">
                  <v>37367</v>
                </pt>
                <pt idx="1">
                  <v>46538</v>
                </pt>
                <pt idx="2">
                  <v>58711</v>
                </pt>
                <pt idx="3">
                  <v>75386</v>
                </pt>
                <pt idx="4">
                  <v>98813</v>
                </pt>
                <pt idx="5">
                  <v>132366</v>
                </pt>
                <pt idx="6">
                  <v>252635</v>
                </pt>
                <pt idx="7">
                  <v>1098322</v>
                </pt>
                <pt idx="8">
                  <v>5327853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90111791"/>
        <axId val="590110351"/>
      </lineChart>
      <catAx>
        <axId val="590111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zh-CN"/>
          </a:p>
        </txPr>
        <crossAx val="590110351"/>
        <crosses val="autoZero"/>
        <auto val="1"/>
        <lblAlgn val="ctr"/>
        <lblOffset val="100"/>
        <noMultiLvlLbl val="0"/>
      </catAx>
      <valAx>
        <axId val="59011035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zh-CN"/>
          </a:p>
        </txPr>
        <crossAx val="590111791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'PBKDF2 手续费用实验'!$B$30</f>
              <strCache>
                <ptCount val="1"/>
                <pt idx="0">
                  <v>α=1/4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'PBKDF2 手续费用实验'!$A$31:$A$39</f>
              <numCache>
                <formatCode>General</formatCode>
                <ptCount val="9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8</v>
                </pt>
                <pt idx="7">
                  <v>12</v>
                </pt>
                <pt idx="8">
                  <v>16</v>
                </pt>
              </numCache>
            </numRef>
          </cat>
          <val>
            <numRef>
              <f>'PBKDF2 手续费用实验'!$B$31:$B$39</f>
              <numCache>
                <formatCode>General</formatCode>
                <ptCount val="9"/>
                <pt idx="0">
                  <v>34367</v>
                </pt>
                <pt idx="1">
                  <v>40538</v>
                </pt>
                <pt idx="2">
                  <v>47461</v>
                </pt>
                <pt idx="3">
                  <v>55324</v>
                </pt>
                <pt idx="4">
                  <v>64361</v>
                </pt>
                <pt idx="5">
                  <v>74864</v>
                </pt>
                <pt idx="6">
                  <v>101827</v>
                </pt>
                <pt idx="7">
                  <v>197052</v>
                </pt>
                <pt idx="8">
                  <v>411188</v>
                </pt>
              </numCache>
            </numRef>
          </val>
          <smooth val="0"/>
        </ser>
        <ser>
          <idx val="1"/>
          <order val="1"/>
          <tx>
            <strRef>
              <f>'PBKDF2 手续费用实验'!$C$30</f>
              <strCache>
                <ptCount val="1"/>
                <pt idx="0">
                  <v>α=1/2（基线）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'PBKDF2 手续费用实验'!$A$31:$A$39</f>
              <numCache>
                <formatCode>General</formatCode>
                <ptCount val="9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8</v>
                </pt>
                <pt idx="7">
                  <v>12</v>
                </pt>
                <pt idx="8">
                  <v>16</v>
                </pt>
              </numCache>
            </numRef>
          </cat>
          <val>
            <numRef>
              <f>'PBKDF2 手续费用实验'!$C$31:$C$39</f>
              <numCache>
                <formatCode>General</formatCode>
                <ptCount val="9"/>
                <pt idx="0">
                  <v>34367</v>
                </pt>
                <pt idx="1">
                  <v>40538</v>
                </pt>
                <pt idx="2">
                  <v>48211</v>
                </pt>
                <pt idx="3">
                  <v>58136</v>
                </pt>
                <pt idx="4">
                  <v>71438</v>
                </pt>
                <pt idx="5">
                  <v>89804</v>
                </pt>
                <pt idx="6">
                  <v>153120</v>
                </pt>
                <pt idx="7">
                  <v>582337</v>
                </pt>
                <pt idx="8">
                  <v>2703489</v>
                </pt>
              </numCache>
            </numRef>
          </val>
          <smooth val="0"/>
        </ser>
        <ser>
          <idx val="2"/>
          <order val="2"/>
          <tx>
            <strRef>
              <f>'PBKDF2 手续费用实验'!$D$30</f>
              <strCache>
                <ptCount val="1"/>
                <pt idx="0">
                  <v>α=3/4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'PBKDF2 手续费用实验'!$A$31:$A$39</f>
              <numCache>
                <formatCode>General</formatCode>
                <ptCount val="9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8</v>
                </pt>
                <pt idx="7">
                  <v>12</v>
                </pt>
                <pt idx="8">
                  <v>16</v>
                </pt>
              </numCache>
            </numRef>
          </cat>
          <val>
            <numRef>
              <f>'PBKDF2 手续费用实验'!$D$31:$D$39</f>
              <numCache>
                <formatCode>General</formatCode>
                <ptCount val="9"/>
                <pt idx="0">
                  <v>34367</v>
                </pt>
                <pt idx="1">
                  <v>40538</v>
                </pt>
                <pt idx="2">
                  <v>48961</v>
                </pt>
                <pt idx="3">
                  <v>61324</v>
                </pt>
                <pt idx="4">
                  <v>80580</v>
                </pt>
                <pt idx="5">
                  <v>111895</v>
                </pt>
                <pt idx="6">
                  <v>253666</v>
                </pt>
                <pt idx="7">
                  <v>1951079</v>
                </pt>
                <pt idx="8">
                  <v>17764173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90123791"/>
        <axId val="590107951"/>
      </lineChart>
      <catAx>
        <axId val="59012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zh-CN"/>
          </a:p>
        </txPr>
        <crossAx val="590107951"/>
        <crosses val="autoZero"/>
        <auto val="1"/>
        <lblAlgn val="ctr"/>
        <lblOffset val="100"/>
        <noMultiLvlLbl val="0"/>
      </catAx>
      <valAx>
        <axId val="59010795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zh-CN"/>
          </a:p>
        </txPr>
        <crossAx val="590123791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'PBKDF2 手续费用实验'!$B$42</f>
              <strCache>
                <ptCount val="1"/>
                <pt idx="0">
                  <v>N₀=1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'PBKDF2 手续费用实验'!$A$43:$A$51</f>
              <numCache>
                <formatCode>General</formatCode>
                <ptCount val="9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8</v>
                </pt>
                <pt idx="7">
                  <v>12</v>
                </pt>
                <pt idx="8">
                  <v>16</v>
                </pt>
              </numCache>
            </numRef>
          </cat>
          <val>
            <numRef>
              <f>'PBKDF2 手续费用实验'!$B$43:$B$51</f>
              <numCache>
                <formatCode>General</formatCode>
                <ptCount val="9"/>
                <pt idx="0">
                  <v>34367</v>
                </pt>
                <pt idx="1">
                  <v>42038</v>
                </pt>
                <pt idx="2">
                  <v>51961</v>
                </pt>
                <pt idx="3">
                  <v>65261</v>
                </pt>
                <pt idx="4">
                  <v>83626</v>
                </pt>
                <pt idx="5">
                  <v>109586</v>
                </pt>
                <pt idx="6">
                  <v>201378</v>
                </pt>
                <pt idx="7">
                  <v>838830</v>
                </pt>
                <pt idx="8">
                  <v>4014171</v>
                </pt>
              </numCache>
            </numRef>
          </val>
          <smooth val="0"/>
        </ser>
        <ser>
          <idx val="1"/>
          <order val="1"/>
          <tx>
            <strRef>
              <f>'PBKDF2 手续费用实验'!$C$42</f>
              <strCache>
                <ptCount val="1"/>
                <pt idx="0">
                  <v>N₀=2（基线）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'PBKDF2 手续费用实验'!$A$43:$A$51</f>
              <numCache>
                <formatCode>General</formatCode>
                <ptCount val="9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8</v>
                </pt>
                <pt idx="7">
                  <v>12</v>
                </pt>
                <pt idx="8">
                  <v>16</v>
                </pt>
              </numCache>
            </numRef>
          </cat>
          <val>
            <numRef>
              <f>'PBKDF2 手续费用实验'!$C$43:$C$51</f>
              <numCache>
                <formatCode>General</formatCode>
                <ptCount val="9"/>
                <pt idx="0">
                  <v>34367</v>
                </pt>
                <pt idx="1">
                  <v>40538</v>
                </pt>
                <pt idx="2">
                  <v>48211</v>
                </pt>
                <pt idx="3">
                  <v>58136</v>
                </pt>
                <pt idx="4">
                  <v>71438</v>
                </pt>
                <pt idx="5">
                  <v>89804</v>
                </pt>
                <pt idx="6">
                  <v>153120</v>
                </pt>
                <pt idx="7">
                  <v>582337</v>
                </pt>
                <pt idx="8">
                  <v>2703489</v>
                </pt>
              </numCache>
            </numRef>
          </val>
          <smooth val="0"/>
        </ser>
        <ser>
          <idx val="2"/>
          <order val="2"/>
          <tx>
            <strRef>
              <f>'PBKDF2 手续费用实验'!$D$42</f>
              <strCache>
                <ptCount val="1"/>
                <pt idx="0">
                  <v>N₀=4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'PBKDF2 手续费用实验'!$A$43:$A$51</f>
              <numCache>
                <formatCode>General</formatCode>
                <ptCount val="9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8</v>
                </pt>
                <pt idx="7">
                  <v>12</v>
                </pt>
                <pt idx="8">
                  <v>16</v>
                </pt>
              </numCache>
            </numRef>
          </cat>
          <val>
            <numRef>
              <f>'PBKDF2 手续费用实验'!$D$43:$D$51</f>
              <numCache>
                <formatCode>General</formatCode>
                <ptCount val="9"/>
                <pt idx="0">
                  <v>34367</v>
                </pt>
                <pt idx="1">
                  <v>40538</v>
                </pt>
                <pt idx="2">
                  <v>46711</v>
                </pt>
                <pt idx="3">
                  <v>52886</v>
                </pt>
                <pt idx="4">
                  <v>60563</v>
                </pt>
                <pt idx="5">
                  <v>70491</v>
                </pt>
                <pt idx="6">
                  <v>102166</v>
                </pt>
                <pt idx="7">
                  <v>300010</v>
                </pt>
                <pt idx="8">
                  <v>1249842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90083679"/>
        <axId val="590088479"/>
      </lineChart>
      <catAx>
        <axId val="590083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zh-CN"/>
          </a:p>
        </txPr>
        <crossAx val="590088479"/>
        <crosses val="autoZero"/>
        <auto val="1"/>
        <lblAlgn val="ctr"/>
        <lblOffset val="100"/>
        <noMultiLvlLbl val="0"/>
      </catAx>
      <valAx>
        <axId val="59008847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zh-CN"/>
          </a:p>
        </txPr>
        <crossAx val="590083679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zh-CN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调用时间数据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zh-CN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'PBKDF2 执行时间对比						'!$B$1</f>
              <strCache>
                <ptCount val="1"/>
                <pt idx="0">
                  <v>Solidity 时间 ms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'PBKDF2 执行时间对比						'!$A$2:$A$8</f>
              <numCache>
                <formatCode>General</formatCode>
                <ptCount val="7"/>
                <pt idx="0">
                  <v>1</v>
                </pt>
                <pt idx="1">
                  <v>2</v>
                </pt>
                <pt idx="2">
                  <v>5</v>
                </pt>
                <pt idx="3">
                  <v>10</v>
                </pt>
                <pt idx="4">
                  <v>20</v>
                </pt>
                <pt idx="5">
                  <v>50</v>
                </pt>
                <pt idx="6">
                  <v>100</v>
                </pt>
              </numCache>
            </numRef>
          </cat>
          <val>
            <numRef>
              <f>'PBKDF2 执行时间对比						'!$B$2:$B$8</f>
              <numCache>
                <formatCode>General</formatCode>
                <ptCount val="7"/>
                <pt idx="0">
                  <v>0.744</v>
                </pt>
                <pt idx="1">
                  <v>0.828</v>
                </pt>
                <pt idx="2">
                  <v>1.076</v>
                </pt>
                <pt idx="3">
                  <v>1.459</v>
                </pt>
                <pt idx="4">
                  <v>2.213</v>
                </pt>
                <pt idx="5">
                  <v>4.454</v>
                </pt>
                <pt idx="6">
                  <v>8.151999999999999</v>
                </pt>
              </numCache>
            </numRef>
          </val>
          <smooth val="0"/>
        </ser>
        <ser>
          <idx val="2"/>
          <order val="1"/>
          <tx>
            <strRef>
              <f>'PBKDF2 执行时间对比						'!$C$1</f>
              <strCache>
                <ptCount val="1"/>
                <pt idx="0">
                  <v>原生预编译时间 ms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'PBKDF2 执行时间对比						'!$A$2:$A$8</f>
              <numCache>
                <formatCode>General</formatCode>
                <ptCount val="7"/>
                <pt idx="0">
                  <v>1</v>
                </pt>
                <pt idx="1">
                  <v>2</v>
                </pt>
                <pt idx="2">
                  <v>5</v>
                </pt>
                <pt idx="3">
                  <v>10</v>
                </pt>
                <pt idx="4">
                  <v>20</v>
                </pt>
                <pt idx="5">
                  <v>50</v>
                </pt>
                <pt idx="6">
                  <v>100</v>
                </pt>
              </numCache>
            </numRef>
          </cat>
          <val>
            <numRef>
              <f>'PBKDF2 执行时间对比						'!$C$2:$C$8</f>
              <numCache>
                <formatCode>General</formatCode>
                <ptCount val="7"/>
                <pt idx="0">
                  <v>0.571</v>
                </pt>
                <pt idx="1">
                  <v>0.6889999999999999</v>
                </pt>
                <pt idx="2">
                  <v>0.622</v>
                </pt>
                <pt idx="3">
                  <v>0.57</v>
                </pt>
                <pt idx="4">
                  <v>0.602</v>
                </pt>
                <pt idx="5">
                  <v>0.588</v>
                </pt>
                <pt idx="6">
                  <v>0.639</v>
                </pt>
              </numCache>
            </numRef>
          </val>
          <smooth val="0"/>
        </ser>
        <ser>
          <idx val="3"/>
          <order val="2"/>
          <tx>
            <strRef>
              <f>'PBKDF2 执行时间对比						'!$D$1</f>
              <strCache>
                <ptCount val="1"/>
                <pt idx="0">
                  <v>EvoCrypt 时间 ms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'PBKDF2 执行时间对比						'!$A$2:$A$8</f>
              <numCache>
                <formatCode>General</formatCode>
                <ptCount val="7"/>
                <pt idx="0">
                  <v>1</v>
                </pt>
                <pt idx="1">
                  <v>2</v>
                </pt>
                <pt idx="2">
                  <v>5</v>
                </pt>
                <pt idx="3">
                  <v>10</v>
                </pt>
                <pt idx="4">
                  <v>20</v>
                </pt>
                <pt idx="5">
                  <v>50</v>
                </pt>
                <pt idx="6">
                  <v>100</v>
                </pt>
              </numCache>
            </numRef>
          </cat>
          <val>
            <numRef>
              <f>'PBKDF2 执行时间对比						'!$D$2:$D$8</f>
              <numCache>
                <formatCode>General</formatCode>
                <ptCount val="7"/>
                <pt idx="0">
                  <v>0.8169999999999999</v>
                </pt>
                <pt idx="1">
                  <v>0.855</v>
                </pt>
                <pt idx="2">
                  <v>0.884</v>
                </pt>
                <pt idx="3">
                  <v>0.986</v>
                </pt>
                <pt idx="4">
                  <v>1.26</v>
                </pt>
                <pt idx="5">
                  <v>1.829</v>
                </pt>
                <pt idx="6">
                  <v>2.967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90097119"/>
        <axId val="590094239"/>
      </lineChart>
      <catAx>
        <axId val="5900971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zh-CN"/>
          </a:p>
        </txPr>
        <crossAx val="590094239"/>
        <crosses val="autoZero"/>
        <auto val="1"/>
        <lblAlgn val="ctr"/>
        <lblOffset val="100"/>
        <noMultiLvlLbl val="0"/>
      </catAx>
      <valAx>
        <axId val="59009423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zh-CN"/>
          </a:p>
        </txPr>
        <crossAx val="590097119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twoCellAnchor>
    <from>
      <col>3</col>
      <colOff>1097280</colOff>
      <row>0</row>
      <rowOff>144780</rowOff>
    </from>
    <to>
      <col>10</col>
      <colOff>432148</colOff>
      <row>11</row>
      <rowOff>127139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678180</colOff>
      <row>14</row>
      <rowOff>91440</rowOff>
    </from>
    <to>
      <col>9</col>
      <colOff>563880</colOff>
      <row>26</row>
      <rowOff>80010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5</col>
      <colOff>205740</colOff>
      <row>29</row>
      <rowOff>15240</rowOff>
    </from>
    <to>
      <col>9</col>
      <colOff>373380</colOff>
      <row>38</row>
      <rowOff>102870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4</col>
      <colOff>487680</colOff>
      <row>39</row>
      <rowOff>156210</rowOff>
    </from>
    <to>
      <col>10</col>
      <colOff>457200</colOff>
      <row>55</row>
      <rowOff>95250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</col>
      <colOff>669725</colOff>
      <row>10</row>
      <rowOff>99060</rowOff>
    </from>
    <to>
      <col>4</col>
      <colOff>693420</colOff>
      <row>20</row>
      <rowOff>161898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1"/>
  <sheetViews>
    <sheetView tabSelected="1" zoomScaleNormal="100" workbookViewId="0">
      <selection activeCell="D14" sqref="D14"/>
    </sheetView>
  </sheetViews>
  <sheetFormatPr baseColWidth="8" defaultRowHeight="13.8"/>
  <cols>
    <col width="27" customWidth="1" style="12" min="1" max="1"/>
    <col width="15.77734375" bestFit="1" customWidth="1" style="12" min="2" max="2"/>
    <col width="19.33203125" bestFit="1" customWidth="1" style="12" min="3" max="3"/>
    <col width="17.33203125" bestFit="1" customWidth="1" style="12" min="4" max="4"/>
    <col width="11.5546875" bestFit="1" customWidth="1" style="12" min="5" max="5"/>
    <col width="15.6640625" bestFit="1" customWidth="1" style="12" min="6" max="6"/>
    <col width="13.21875" bestFit="1" customWidth="1" style="12" min="7" max="7"/>
  </cols>
  <sheetData>
    <row r="1">
      <c r="A1" s="0" t="inlineStr">
        <is>
          <t>单笔交易调用次数</t>
        </is>
      </c>
      <c r="B1" s="0" t="inlineStr">
        <is>
          <t>Solidity 累计 Gas</t>
        </is>
      </c>
      <c r="C1" s="0" t="inlineStr">
        <is>
          <t>EvoCrypt 累计 Gas</t>
        </is>
      </c>
    </row>
    <row r="2">
      <c r="A2" s="0" t="n">
        <v>1</v>
      </c>
      <c r="B2" s="0" t="n">
        <v>297297</v>
      </c>
      <c r="C2" s="0" t="n">
        <v>34367</v>
      </c>
    </row>
    <row r="3">
      <c r="A3" s="0" t="n">
        <v>2</v>
      </c>
      <c r="B3" s="0" t="n">
        <v>566367</v>
      </c>
      <c r="C3" s="0" t="n">
        <v>40538</v>
      </c>
    </row>
    <row r="4">
      <c r="A4" s="0" t="n">
        <v>3</v>
      </c>
      <c r="B4" s="0" t="n">
        <v>835438</v>
      </c>
      <c r="C4" s="0" t="n">
        <v>48211</v>
      </c>
    </row>
    <row r="5">
      <c r="A5" s="0" t="n">
        <v>4</v>
      </c>
      <c r="B5" s="0" t="n">
        <v>1104509</v>
      </c>
      <c r="C5" s="0" t="n">
        <v>58136</v>
      </c>
    </row>
    <row r="6">
      <c r="A6" s="0" t="n">
        <v>5</v>
      </c>
      <c r="B6" s="0" t="n">
        <v>1373581</v>
      </c>
      <c r="C6" s="0" t="n">
        <v>71438</v>
      </c>
    </row>
    <row r="7">
      <c r="A7" s="0" t="n">
        <v>6</v>
      </c>
      <c r="B7" s="0" t="n">
        <v>1642653</v>
      </c>
      <c r="C7" s="0" t="n">
        <v>89804</v>
      </c>
    </row>
    <row r="8">
      <c r="A8" s="0" t="n">
        <v>8</v>
      </c>
      <c r="B8" s="0" t="n">
        <v>2180800</v>
      </c>
      <c r="C8" s="0" t="n">
        <v>153120</v>
      </c>
    </row>
    <row r="9">
      <c r="A9" s="0" t="n">
        <v>12</v>
      </c>
      <c r="B9" s="0" t="n">
        <v>3257099</v>
      </c>
      <c r="C9" s="0" t="n">
        <v>582337</v>
      </c>
    </row>
    <row r="10">
      <c r="A10" s="0" t="n">
        <v>16</v>
      </c>
      <c r="B10" s="0" t="n">
        <v>4333408</v>
      </c>
      <c r="C10" s="0" t="n">
        <v>2703489</v>
      </c>
    </row>
    <row r="16">
      <c r="A16" s="0" t="inlineStr">
        <is>
          <t>固定 α=1/2、N₀=2</t>
        </is>
      </c>
    </row>
    <row r="17">
      <c r="A17" s="0" t="inlineStr">
        <is>
          <t>调用次数n</t>
        </is>
      </c>
      <c r="B17" s="0" t="inlineStr">
        <is>
          <t>g₀=1500</t>
        </is>
      </c>
      <c r="C17" s="0" t="inlineStr">
        <is>
          <t>g₀=3000（基线）</t>
        </is>
      </c>
      <c r="D17" s="0" t="inlineStr">
        <is>
          <t>g₀=6000</t>
        </is>
      </c>
    </row>
    <row r="18">
      <c r="A18" s="0" t="n">
        <v>1</v>
      </c>
      <c r="B18" s="0" t="n">
        <v>32867</v>
      </c>
      <c r="C18" s="0" t="n">
        <v>34367</v>
      </c>
      <c r="D18" s="0" t="n">
        <v>37367</v>
      </c>
    </row>
    <row r="19">
      <c r="A19" s="0" t="n">
        <v>2</v>
      </c>
      <c r="B19" s="0" t="n">
        <v>37538</v>
      </c>
      <c r="C19" s="0" t="n">
        <v>40538</v>
      </c>
      <c r="D19" s="0" t="n">
        <v>46538</v>
      </c>
    </row>
    <row r="20">
      <c r="A20" s="0" t="n">
        <v>3</v>
      </c>
      <c r="B20" s="0" t="n">
        <v>42961</v>
      </c>
      <c r="C20" s="0" t="n">
        <v>48211</v>
      </c>
      <c r="D20" s="0" t="n">
        <v>58711</v>
      </c>
    </row>
    <row r="21">
      <c r="A21" s="0" t="n">
        <v>4</v>
      </c>
      <c r="B21" s="0" t="n">
        <v>49511</v>
      </c>
      <c r="C21" s="0" t="n">
        <v>58136</v>
      </c>
      <c r="D21" s="0" t="n">
        <v>75386</v>
      </c>
    </row>
    <row r="22">
      <c r="A22" s="0" t="n">
        <v>5</v>
      </c>
      <c r="B22" s="0" t="n">
        <v>57751</v>
      </c>
      <c r="C22" s="0" t="n">
        <v>71438</v>
      </c>
      <c r="D22" s="0" t="n">
        <v>98813</v>
      </c>
    </row>
    <row r="23">
      <c r="A23" s="0" t="n">
        <v>6</v>
      </c>
      <c r="B23" s="0" t="n">
        <v>68523</v>
      </c>
      <c r="C23" s="0" t="n">
        <v>89804</v>
      </c>
      <c r="D23" s="0" t="n">
        <v>132366</v>
      </c>
    </row>
    <row r="24">
      <c r="A24" s="0" t="n">
        <v>8</v>
      </c>
      <c r="B24" s="0" t="n">
        <v>103362</v>
      </c>
      <c r="C24" s="0" t="n">
        <v>153120</v>
      </c>
      <c r="D24" s="0" t="n">
        <v>252635</v>
      </c>
    </row>
    <row r="25">
      <c r="A25" s="0" t="n">
        <v>12</v>
      </c>
      <c r="B25" s="0" t="n">
        <v>324344</v>
      </c>
      <c r="C25" s="0" t="n">
        <v>582337</v>
      </c>
      <c r="D25" s="0" t="n">
        <v>1098322</v>
      </c>
    </row>
    <row r="26">
      <c r="A26" s="0" t="n">
        <v>16</v>
      </c>
      <c r="B26" s="0" t="n">
        <v>1391307</v>
      </c>
      <c r="C26" s="0" t="n">
        <v>2703489</v>
      </c>
      <c r="D26" s="0" t="n">
        <v>5327853</v>
      </c>
    </row>
    <row r="29">
      <c r="A29" s="0" t="inlineStr">
        <is>
          <t>固定 g₀=3000、N₀=2</t>
        </is>
      </c>
    </row>
    <row r="30">
      <c r="A30" s="0" t="inlineStr">
        <is>
          <t>调用次数n</t>
        </is>
      </c>
      <c r="B30" s="0" t="inlineStr">
        <is>
          <t>α=1/4</t>
        </is>
      </c>
      <c r="C30" s="0" t="inlineStr">
        <is>
          <t>α=1/2（基线）</t>
        </is>
      </c>
      <c r="D30" s="0" t="inlineStr">
        <is>
          <t>α=3/4</t>
        </is>
      </c>
    </row>
    <row r="31">
      <c r="A31" s="0" t="n">
        <v>1</v>
      </c>
      <c r="B31" s="0" t="n">
        <v>34367</v>
      </c>
      <c r="C31" s="0" t="n">
        <v>34367</v>
      </c>
      <c r="D31" s="0" t="n">
        <v>34367</v>
      </c>
    </row>
    <row r="32">
      <c r="A32" s="0" t="n">
        <v>2</v>
      </c>
      <c r="B32" s="0" t="n">
        <v>40538</v>
      </c>
      <c r="C32" s="0" t="n">
        <v>40538</v>
      </c>
      <c r="D32" s="0" t="n">
        <v>40538</v>
      </c>
    </row>
    <row r="33">
      <c r="A33" s="0" t="n">
        <v>3</v>
      </c>
      <c r="B33" s="0" t="n">
        <v>47461</v>
      </c>
      <c r="C33" s="0" t="n">
        <v>48211</v>
      </c>
      <c r="D33" s="0" t="n">
        <v>48961</v>
      </c>
    </row>
    <row r="34">
      <c r="A34" s="0" t="n">
        <v>4</v>
      </c>
      <c r="B34" s="0" t="n">
        <v>55324</v>
      </c>
      <c r="C34" s="0" t="n">
        <v>58136</v>
      </c>
      <c r="D34" s="0" t="n">
        <v>61324</v>
      </c>
    </row>
    <row r="35">
      <c r="A35" s="0" t="n">
        <v>5</v>
      </c>
      <c r="B35" s="0" t="n">
        <v>64361</v>
      </c>
      <c r="C35" s="0" t="n">
        <v>71438</v>
      </c>
      <c r="D35" s="0" t="n">
        <v>80580</v>
      </c>
    </row>
    <row r="36">
      <c r="A36" s="0" t="n">
        <v>6</v>
      </c>
      <c r="B36" s="0" t="n">
        <v>74864</v>
      </c>
      <c r="C36" s="0" t="n">
        <v>89804</v>
      </c>
      <c r="D36" s="0" t="n">
        <v>111895</v>
      </c>
    </row>
    <row r="37">
      <c r="A37" s="0" t="n">
        <v>8</v>
      </c>
      <c r="B37" s="0" t="n">
        <v>101827</v>
      </c>
      <c r="C37" s="0" t="n">
        <v>153120</v>
      </c>
      <c r="D37" s="0" t="n">
        <v>253666</v>
      </c>
    </row>
    <row r="38">
      <c r="A38" s="0" t="n">
        <v>12</v>
      </c>
      <c r="B38" s="0" t="n">
        <v>197052</v>
      </c>
      <c r="C38" s="0" t="n">
        <v>582337</v>
      </c>
      <c r="D38" s="0" t="n">
        <v>1951079</v>
      </c>
    </row>
    <row r="39">
      <c r="A39" s="0" t="n">
        <v>16</v>
      </c>
      <c r="B39" s="0" t="n">
        <v>411188</v>
      </c>
      <c r="C39" s="0" t="n">
        <v>2703489</v>
      </c>
      <c r="D39" s="0" t="n">
        <v>17764173</v>
      </c>
    </row>
    <row r="41">
      <c r="A41" s="14" t="inlineStr">
        <is>
          <t>固定 g₀=3000、α=1/2</t>
        </is>
      </c>
    </row>
    <row r="42">
      <c r="A42" s="0" t="inlineStr">
        <is>
          <t>调用次数n</t>
        </is>
      </c>
      <c r="B42" s="0" t="inlineStr">
        <is>
          <t>N₀=1</t>
        </is>
      </c>
      <c r="C42" s="0" t="inlineStr">
        <is>
          <t>N₀=2（基线）</t>
        </is>
      </c>
      <c r="D42" s="0" t="inlineStr">
        <is>
          <t>N₀=4</t>
        </is>
      </c>
    </row>
    <row r="43">
      <c r="A43" s="0" t="n">
        <v>1</v>
      </c>
      <c r="B43" s="0" t="n">
        <v>34367</v>
      </c>
      <c r="C43" s="0" t="n">
        <v>34367</v>
      </c>
      <c r="D43" s="0" t="n">
        <v>34367</v>
      </c>
    </row>
    <row r="44">
      <c r="A44" s="0" t="n">
        <v>2</v>
      </c>
      <c r="B44" s="0" t="n">
        <v>42038</v>
      </c>
      <c r="C44" s="0" t="n">
        <v>40538</v>
      </c>
      <c r="D44" s="0" t="n">
        <v>40538</v>
      </c>
    </row>
    <row r="45">
      <c r="A45" s="0" t="n">
        <v>3</v>
      </c>
      <c r="B45" s="0" t="n">
        <v>51961</v>
      </c>
      <c r="C45" s="0" t="n">
        <v>48211</v>
      </c>
      <c r="D45" s="0" t="n">
        <v>46711</v>
      </c>
    </row>
    <row r="46">
      <c r="A46" s="0" t="n">
        <v>4</v>
      </c>
      <c r="B46" s="0" t="n">
        <v>65261</v>
      </c>
      <c r="C46" s="0" t="n">
        <v>58136</v>
      </c>
      <c r="D46" s="0" t="n">
        <v>52886</v>
      </c>
    </row>
    <row r="47">
      <c r="A47" s="0" t="n">
        <v>5</v>
      </c>
      <c r="B47" s="0" t="n">
        <v>83626</v>
      </c>
      <c r="C47" s="0" t="n">
        <v>71438</v>
      </c>
      <c r="D47" s="0" t="n">
        <v>60563</v>
      </c>
    </row>
    <row r="48">
      <c r="A48" s="0" t="n">
        <v>6</v>
      </c>
      <c r="B48" s="0" t="n">
        <v>109586</v>
      </c>
      <c r="C48" s="0" t="n">
        <v>89804</v>
      </c>
      <c r="D48" s="0" t="n">
        <v>70491</v>
      </c>
    </row>
    <row r="49">
      <c r="A49" s="0" t="n">
        <v>8</v>
      </c>
      <c r="B49" s="0" t="n">
        <v>201378</v>
      </c>
      <c r="C49" s="0" t="n">
        <v>153120</v>
      </c>
      <c r="D49" s="0" t="n">
        <v>102166</v>
      </c>
    </row>
    <row r="50">
      <c r="A50" s="0" t="n">
        <v>12</v>
      </c>
      <c r="B50" s="0" t="n">
        <v>838830</v>
      </c>
      <c r="C50" s="0" t="n">
        <v>582337</v>
      </c>
      <c r="D50" s="0" t="n">
        <v>300010</v>
      </c>
    </row>
    <row r="51">
      <c r="A51" s="0" t="n">
        <v>16</v>
      </c>
      <c r="B51" s="0" t="n">
        <v>4014171</v>
      </c>
      <c r="C51" s="0" t="n">
        <v>2703489</v>
      </c>
      <c r="D51" s="0" t="n">
        <v>1249842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tabSelected="1" workbookViewId="0">
      <selection activeCell="D14" sqref="D14"/>
    </sheetView>
  </sheetViews>
  <sheetFormatPr baseColWidth="8" defaultRowHeight="13.8"/>
  <cols>
    <col width="13.88671875" bestFit="1" customWidth="1" style="12" min="1" max="1"/>
    <col width="15.6640625" bestFit="1" customWidth="1" style="12" min="2" max="2"/>
    <col width="19.33203125" bestFit="1" customWidth="1" style="12" min="3" max="3"/>
    <col width="17.33203125" bestFit="1" customWidth="1" style="12" min="4" max="4"/>
    <col width="11.44140625" bestFit="1" customWidth="1" style="12" min="5" max="5"/>
    <col width="15.6640625" bestFit="1" customWidth="1" style="12" min="6" max="6"/>
    <col width="13" bestFit="1" customWidth="1" style="12" min="7" max="7"/>
  </cols>
  <sheetData>
    <row r="1">
      <c r="A1" s="0" t="inlineStr">
        <is>
          <t>内部迭代次数</t>
        </is>
      </c>
      <c r="B1" s="0" t="inlineStr">
        <is>
          <t>Solidity 时间 ms</t>
        </is>
      </c>
      <c r="C1" s="0" t="inlineStr">
        <is>
          <t>原生预编译时间 ms</t>
        </is>
      </c>
      <c r="D1" s="0" t="inlineStr">
        <is>
          <t>EvoCrypt 时间 ms</t>
        </is>
      </c>
      <c r="E1" s="0" t="inlineStr">
        <is>
          <t>Solidity Gas</t>
        </is>
      </c>
      <c r="F1" s="0" t="inlineStr">
        <is>
          <t>原生预编译 Gas</t>
        </is>
      </c>
      <c r="G1" s="0" t="inlineStr">
        <is>
          <t>EvoCrypt Gas</t>
        </is>
      </c>
    </row>
    <row r="2">
      <c r="A2" s="0" t="n">
        <v>1</v>
      </c>
      <c r="B2" s="0" t="n">
        <v>0.744</v>
      </c>
      <c r="C2" s="0" t="n">
        <v>0.571</v>
      </c>
      <c r="D2" s="0" t="n">
        <v>0.8169999999999999</v>
      </c>
      <c r="E2" s="0" t="n">
        <v>68146</v>
      </c>
      <c r="F2" s="0" t="n">
        <v>52065</v>
      </c>
      <c r="G2" s="0" t="n">
        <v>48136</v>
      </c>
    </row>
    <row r="3">
      <c r="A3" s="0" t="n">
        <v>2</v>
      </c>
      <c r="B3" s="0" t="n">
        <v>0.828</v>
      </c>
      <c r="C3" s="0" t="n">
        <v>0.6889999999999999</v>
      </c>
      <c r="D3" s="0" t="n">
        <v>0.855</v>
      </c>
      <c r="E3" s="0" t="n">
        <v>92692</v>
      </c>
      <c r="F3" s="0" t="n">
        <v>52090</v>
      </c>
      <c r="G3" s="0" t="n">
        <v>48136</v>
      </c>
    </row>
    <row r="4">
      <c r="A4" s="0" t="n">
        <v>5</v>
      </c>
      <c r="B4" s="0" t="n">
        <v>1.076</v>
      </c>
      <c r="C4" s="0" t="n">
        <v>0.622</v>
      </c>
      <c r="D4" s="0" t="n">
        <v>0.884</v>
      </c>
      <c r="E4" s="0" t="n">
        <v>166341</v>
      </c>
      <c r="F4" s="0" t="n">
        <v>52165</v>
      </c>
      <c r="G4" s="0" t="n">
        <v>48136</v>
      </c>
    </row>
    <row r="5">
      <c r="A5" s="0" t="n">
        <v>10</v>
      </c>
      <c r="B5" s="0" t="n">
        <v>1.459</v>
      </c>
      <c r="C5" s="0" t="n">
        <v>0.57</v>
      </c>
      <c r="D5" s="0" t="n">
        <v>0.986</v>
      </c>
      <c r="E5" s="0" t="n">
        <v>289113</v>
      </c>
      <c r="F5" s="0" t="n">
        <v>52290</v>
      </c>
      <c r="G5" s="0" t="n">
        <v>48136</v>
      </c>
    </row>
    <row r="6">
      <c r="A6" s="0" t="n">
        <v>20</v>
      </c>
      <c r="B6" s="0" t="n">
        <v>2.213</v>
      </c>
      <c r="C6" s="0" t="n">
        <v>0.602</v>
      </c>
      <c r="D6" s="0" t="n">
        <v>1.26</v>
      </c>
      <c r="E6" s="0" t="n">
        <v>534753</v>
      </c>
      <c r="F6" s="0" t="n">
        <v>52540</v>
      </c>
      <c r="G6" s="0" t="n">
        <v>48136</v>
      </c>
    </row>
    <row r="7">
      <c r="A7" s="0" t="n">
        <v>50</v>
      </c>
      <c r="B7" s="0" t="n">
        <v>4.454</v>
      </c>
      <c r="C7" s="0" t="n">
        <v>0.588</v>
      </c>
      <c r="D7" s="0" t="n">
        <v>1.829</v>
      </c>
      <c r="E7" s="0" t="n">
        <v>1272431</v>
      </c>
      <c r="F7" s="0" t="n">
        <v>53290</v>
      </c>
      <c r="G7" s="0" t="n">
        <v>48136</v>
      </c>
    </row>
    <row r="8">
      <c r="A8" s="0" t="n">
        <v>100</v>
      </c>
      <c r="B8" s="0" t="n">
        <v>8.151999999999999</v>
      </c>
      <c r="C8" s="0" t="n">
        <v>0.639</v>
      </c>
      <c r="D8" s="0" t="n">
        <v>2.967</v>
      </c>
      <c r="E8" s="0" t="n">
        <v>2504426</v>
      </c>
      <c r="F8" s="0" t="n">
        <v>54540</v>
      </c>
      <c r="G8" s="0" t="n">
        <v>48136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zoomScale="190" zoomScaleNormal="190" workbookViewId="0">
      <selection activeCell="B6" sqref="B6"/>
    </sheetView>
  </sheetViews>
  <sheetFormatPr baseColWidth="8" defaultRowHeight="13.8"/>
  <cols>
    <col width="12.5546875" bestFit="1" customWidth="1" style="12" min="1" max="1"/>
    <col width="12" bestFit="1" customWidth="1" style="12" min="2" max="2"/>
    <col width="11.5546875" bestFit="1" customWidth="1" style="12" min="3" max="3"/>
    <col width="13.88671875" bestFit="1" customWidth="1" style="12" min="4" max="4"/>
  </cols>
  <sheetData>
    <row r="1">
      <c r="A1" s="1" t="inlineStr">
        <is>
          <t>算法</t>
        </is>
      </c>
      <c r="B1" s="1" t="inlineStr">
        <is>
          <t>upgrade (mean)</t>
        </is>
      </c>
      <c r="C1" s="1" t="inlineStr">
        <is>
          <t>contract (mean)</t>
        </is>
      </c>
      <c r="D1" s="1" t="inlineStr">
        <is>
          <t>precompile (mean)</t>
        </is>
      </c>
    </row>
    <row r="2">
      <c r="A2" s="2" t="inlineStr">
        <is>
          <t>Add</t>
        </is>
      </c>
      <c r="B2" s="8" t="inlineStr">
        <is>
          <t>0.55ms</t>
        </is>
      </c>
      <c r="C2" s="2" t="inlineStr">
        <is>
          <t>0.40ms</t>
        </is>
      </c>
      <c r="D2" s="2" t="inlineStr">
        <is>
          <t>0.40ms</t>
        </is>
      </c>
    </row>
    <row r="3">
      <c r="A3" s="2" t="inlineStr">
        <is>
          <t>Sha256</t>
        </is>
      </c>
      <c r="B3" s="2" t="inlineStr">
        <is>
          <t>0.51ms</t>
        </is>
      </c>
      <c r="C3" s="2" t="inlineStr">
        <is>
          <t>0.38ms</t>
        </is>
      </c>
      <c r="D3" s="2" t="inlineStr">
        <is>
          <t>0.39ms</t>
        </is>
      </c>
    </row>
    <row r="4">
      <c r="A4" s="2" t="inlineStr">
        <is>
          <t>Blake2bSum256</t>
        </is>
      </c>
      <c r="B4" s="2" t="inlineStr">
        <is>
          <t>0.50ms</t>
        </is>
      </c>
      <c r="C4" s="2" t="inlineStr">
        <is>
          <t>0.60ms</t>
        </is>
      </c>
      <c r="D4" s="2" t="inlineStr">
        <is>
          <t>0.40ms</t>
        </is>
      </c>
    </row>
    <row r="5">
      <c r="A5" s="2" t="inlineStr">
        <is>
          <t>Pbkdf2Sha256</t>
        </is>
      </c>
      <c r="B5" s="2" t="inlineStr">
        <is>
          <t>0.56ms</t>
        </is>
      </c>
      <c r="C5" s="2" t="inlineStr">
        <is>
          <t>0.55ms</t>
        </is>
      </c>
      <c r="D5" s="2" t="inlineStr">
        <is>
          <t>0.38ms</t>
        </is>
      </c>
    </row>
    <row r="6">
      <c r="A6" s="2" t="inlineStr">
        <is>
          <t>Dh2048Secret</t>
        </is>
      </c>
      <c r="B6" s="2" t="inlineStr">
        <is>
          <t>0.60ms</t>
        </is>
      </c>
      <c r="C6" s="2" t="inlineStr">
        <is>
          <t>1.15ms</t>
        </is>
      </c>
      <c r="D6" s="2" t="inlineStr">
        <is>
          <t>0.41ms</t>
        </is>
      </c>
    </row>
    <row r="7">
      <c r="A7" s="2" t="inlineStr">
        <is>
          <t>PedersenCommit</t>
        </is>
      </c>
      <c r="B7" s="2" t="inlineStr">
        <is>
          <t>1.26ms</t>
        </is>
      </c>
      <c r="C7" s="2" t="inlineStr">
        <is>
          <t>2.07ms</t>
        </is>
      </c>
      <c r="D7" s="2" t="inlineStr">
        <is>
          <t>0.47ms</t>
        </is>
      </c>
    </row>
    <row r="8">
      <c r="A8" s="2" t="inlineStr">
        <is>
          <t>SchnorrVerify</t>
        </is>
      </c>
      <c r="B8" s="8" t="inlineStr">
        <is>
          <t>3.67ms</t>
        </is>
      </c>
      <c r="C8" s="2" t="inlineStr">
        <is>
          <t>4.33ms</t>
        </is>
      </c>
      <c r="D8" s="2" t="inlineStr">
        <is>
          <t>1.26ms</t>
        </is>
      </c>
    </row>
    <row r="9">
      <c r="A9" s="2" t="inlineStr">
        <is>
          <t>PolynomialMul</t>
        </is>
      </c>
      <c r="B9" s="2" t="inlineStr">
        <is>
          <t>0.62ms</t>
        </is>
      </c>
      <c r="C9" s="2" t="inlineStr">
        <is>
          <t>0.44ms</t>
        </is>
      </c>
      <c r="D9" s="2" t="inlineStr">
        <is>
          <t>0.44ms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="205" zoomScaleNormal="205" workbookViewId="0">
      <selection activeCell="F9" sqref="F9"/>
    </sheetView>
  </sheetViews>
  <sheetFormatPr baseColWidth="8" defaultRowHeight="13.8"/>
  <cols>
    <col width="12.5546875" bestFit="1" customWidth="1" style="12" min="1" max="1"/>
    <col width="9.6640625" bestFit="1" customWidth="1" style="12" min="2" max="2"/>
    <col width="9.33203125" bestFit="1" customWidth="1" style="12" min="3" max="3"/>
    <col width="12.88671875" bestFit="1" customWidth="1" style="12" min="4" max="4"/>
    <col width="13.88671875" bestFit="1" customWidth="1" style="12" min="5" max="5"/>
  </cols>
  <sheetData>
    <row r="1">
      <c r="A1" s="1" t="inlineStr">
        <is>
          <t>算法</t>
        </is>
      </c>
      <c r="B1" s="1" t="inlineStr">
        <is>
          <t>upgrade gas</t>
        </is>
      </c>
      <c r="C1" s="1" t="inlineStr">
        <is>
          <t>contract gas</t>
        </is>
      </c>
      <c r="D1" s="1" t="inlineStr">
        <is>
          <t>upgrade/contract</t>
        </is>
      </c>
      <c r="E1" s="1" t="inlineStr">
        <is>
          <t>更省 Gas 的方案</t>
        </is>
      </c>
    </row>
    <row r="2">
      <c r="A2" s="2" t="inlineStr">
        <is>
          <t>Add</t>
        </is>
      </c>
      <c r="B2" s="6" t="n">
        <v>25408</v>
      </c>
      <c r="C2" s="6" t="n">
        <v>21736</v>
      </c>
      <c r="D2" s="7" t="inlineStr">
        <is>
          <t>1.17×</t>
        </is>
      </c>
      <c r="E2" s="2" t="inlineStr">
        <is>
          <t>contract（-15%）</t>
        </is>
      </c>
    </row>
    <row r="3">
      <c r="A3" s="2" t="inlineStr">
        <is>
          <t>Sha256</t>
        </is>
      </c>
      <c r="B3" s="6" t="n">
        <v>25801</v>
      </c>
      <c r="C3" s="6" t="n">
        <v>22846</v>
      </c>
      <c r="D3" s="7" t="inlineStr">
        <is>
          <t>1.13×</t>
        </is>
      </c>
      <c r="E3" s="2" t="inlineStr">
        <is>
          <t>contract（-11%）</t>
        </is>
      </c>
    </row>
    <row r="4">
      <c r="A4" s="2" t="inlineStr">
        <is>
          <t>Blake2bSum256</t>
        </is>
      </c>
      <c r="B4" s="6" t="n">
        <v>25801</v>
      </c>
      <c r="C4" s="6" t="n">
        <v>113059</v>
      </c>
      <c r="D4" s="7" t="inlineStr">
        <is>
          <t>0.23×</t>
        </is>
      </c>
      <c r="E4" s="2" t="inlineStr">
        <is>
          <t>upgrade（-77%）</t>
        </is>
      </c>
    </row>
    <row r="5">
      <c r="A5" s="2" t="inlineStr">
        <is>
          <t>Pbkdf2Sha256</t>
        </is>
      </c>
      <c r="B5" s="6" t="n">
        <v>48522</v>
      </c>
      <c r="C5" s="6" t="n">
        <v>93643</v>
      </c>
      <c r="D5" s="7" t="inlineStr">
        <is>
          <t>0.52×</t>
        </is>
      </c>
      <c r="E5" s="2" t="inlineStr">
        <is>
          <t>upgrade（-48%）</t>
        </is>
      </c>
    </row>
    <row r="6">
      <c r="A6" s="2" t="inlineStr">
        <is>
          <t>Dh2048Secret</t>
        </is>
      </c>
      <c r="B6" s="6" t="n">
        <v>226586</v>
      </c>
      <c r="C6" s="6" t="n">
        <v>378560</v>
      </c>
      <c r="D6" s="7" t="inlineStr">
        <is>
          <t>0.60×</t>
        </is>
      </c>
      <c r="E6" s="2" t="inlineStr">
        <is>
          <t>upgrade（-40%）</t>
        </is>
      </c>
    </row>
    <row r="7">
      <c r="A7" s="2" t="inlineStr">
        <is>
          <t>PedersenCommit</t>
        </is>
      </c>
      <c r="B7" s="6" t="n">
        <v>225695</v>
      </c>
      <c r="C7" s="6" t="n">
        <v>853145</v>
      </c>
      <c r="D7" s="7" t="inlineStr">
        <is>
          <t>0.26×</t>
        </is>
      </c>
      <c r="E7" s="2" t="inlineStr">
        <is>
          <t>upgrade（-74%）</t>
        </is>
      </c>
    </row>
    <row r="8">
      <c r="A8" s="2" t="inlineStr">
        <is>
          <t>SchnorrVerify</t>
        </is>
      </c>
      <c r="B8" s="6" t="n">
        <v>229437</v>
      </c>
      <c r="C8" s="6" t="n">
        <v>2301691</v>
      </c>
      <c r="D8" s="7" t="inlineStr">
        <is>
          <t>0.10×</t>
        </is>
      </c>
      <c r="E8" s="2" t="inlineStr">
        <is>
          <t>upgrade（-90%）</t>
        </is>
      </c>
    </row>
    <row r="9">
      <c r="A9" s="2" t="inlineStr">
        <is>
          <t>PolynomialMul</t>
        </is>
      </c>
      <c r="B9" s="6" t="n">
        <v>32306</v>
      </c>
      <c r="C9" s="6" t="n">
        <v>34103</v>
      </c>
      <c r="D9" s="7" t="inlineStr">
        <is>
          <t>0.95×</t>
        </is>
      </c>
      <c r="E9" s="2" t="inlineStr">
        <is>
          <t>基本持平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zoomScale="175" zoomScaleNormal="175" workbookViewId="0">
      <selection activeCell="C16" sqref="C16"/>
    </sheetView>
  </sheetViews>
  <sheetFormatPr baseColWidth="8" defaultRowHeight="13.8"/>
  <cols>
    <col width="16.6640625" bestFit="1" customWidth="1" style="12" min="1" max="1"/>
    <col width="9.5546875" bestFit="1" customWidth="1" style="12" min="2" max="2"/>
    <col width="15.33203125" bestFit="1" customWidth="1" style="12" min="3" max="3"/>
    <col width="17.6640625" bestFit="1" customWidth="1" style="12" min="4" max="4"/>
    <col width="12.6640625" bestFit="1" customWidth="1" style="12" min="5" max="5"/>
    <col width="16.109375" bestFit="1" customWidth="1" style="12" min="6" max="6"/>
  </cols>
  <sheetData>
    <row r="1" ht="27.6" customHeight="1" s="12">
      <c r="A1" s="3" t="inlineStr">
        <is>
          <t>Algorithm</t>
        </is>
      </c>
      <c r="B1" s="10" t="inlineStr">
        <is>
          <t>Upgrade Mean</t>
        </is>
      </c>
      <c r="C1" s="10" t="inlineStr">
        <is>
          <t>Contract Mean</t>
        </is>
      </c>
      <c r="D1" s="10" t="n"/>
      <c r="E1" s="3" t="n"/>
      <c r="F1" s="3" t="n"/>
    </row>
    <row r="2">
      <c r="A2" s="4" t="inlineStr">
        <is>
          <t>Add</t>
        </is>
      </c>
      <c r="B2" s="9" t="inlineStr">
        <is>
          <t>0.60 ms</t>
        </is>
      </c>
      <c r="C2" s="9" t="inlineStr">
        <is>
          <t>0.37 ms</t>
        </is>
      </c>
      <c r="D2" s="11" t="n"/>
      <c r="E2" s="5" t="n"/>
      <c r="F2" s="4" t="n"/>
    </row>
    <row r="3">
      <c r="A3" s="4" t="inlineStr">
        <is>
          <t>Sha256</t>
        </is>
      </c>
      <c r="B3" s="9" t="inlineStr">
        <is>
          <t>0.54 ms</t>
        </is>
      </c>
      <c r="C3" s="9" t="inlineStr">
        <is>
          <t>0.42 ms</t>
        </is>
      </c>
      <c r="D3" s="11" t="n"/>
      <c r="E3" s="5" t="n"/>
      <c r="F3" s="4" t="n"/>
    </row>
    <row r="4">
      <c r="A4" s="4" t="inlineStr">
        <is>
          <t>Blake2bSum256</t>
        </is>
      </c>
      <c r="B4" s="9" t="inlineStr">
        <is>
          <t>0.60 ms</t>
        </is>
      </c>
      <c r="C4" s="9" t="inlineStr">
        <is>
          <t>0.59 ms</t>
        </is>
      </c>
      <c r="D4" s="11" t="n"/>
      <c r="E4" s="5" t="n"/>
      <c r="F4" s="4" t="n"/>
    </row>
    <row r="5">
      <c r="A5" s="4" t="inlineStr">
        <is>
          <t>Pbkdf2Sha256</t>
        </is>
      </c>
      <c r="B5" s="9" t="inlineStr">
        <is>
          <t>0.57 ms</t>
        </is>
      </c>
      <c r="C5" s="9" t="inlineStr">
        <is>
          <t>0.55 ms</t>
        </is>
      </c>
      <c r="D5" s="11" t="n"/>
      <c r="E5" s="5" t="n"/>
      <c r="F5" s="4" t="n"/>
    </row>
    <row r="6">
      <c r="A6" s="4" t="inlineStr">
        <is>
          <t>Dh2048Secret</t>
        </is>
      </c>
      <c r="B6" s="9" t="inlineStr">
        <is>
          <t>0.58 ms</t>
        </is>
      </c>
      <c r="C6" s="9" t="inlineStr">
        <is>
          <t>1.18 ms</t>
        </is>
      </c>
      <c r="D6" s="11" t="n"/>
      <c r="E6" s="5" t="n"/>
      <c r="F6" s="4" t="n"/>
    </row>
    <row r="7">
      <c r="A7" s="4" t="inlineStr">
        <is>
          <t>PedersenCommit</t>
        </is>
      </c>
      <c r="B7" s="9" t="inlineStr">
        <is>
          <t>1.30 ms</t>
        </is>
      </c>
      <c r="C7" s="9" t="inlineStr">
        <is>
          <t>2.02 ms</t>
        </is>
      </c>
      <c r="D7" s="11" t="n"/>
      <c r="E7" s="5" t="n"/>
      <c r="F7" s="4" t="n"/>
    </row>
    <row r="8">
      <c r="A8" s="4" t="inlineStr">
        <is>
          <t>SchnorrVerify</t>
        </is>
      </c>
      <c r="B8" s="9" t="inlineStr">
        <is>
          <t>2.34 ms</t>
        </is>
      </c>
      <c r="C8" s="9" t="inlineStr">
        <is>
          <t>4.30 ms</t>
        </is>
      </c>
      <c r="D8" s="11" t="n"/>
      <c r="E8" s="5" t="n"/>
      <c r="F8" s="4" t="n"/>
    </row>
    <row r="9">
      <c r="A9" s="4" t="inlineStr">
        <is>
          <t>PolynomialMul</t>
        </is>
      </c>
      <c r="B9" s="9" t="inlineStr">
        <is>
          <t>0.60 ms</t>
        </is>
      </c>
      <c r="C9" s="9" t="inlineStr">
        <is>
          <t>0.46 ms</t>
        </is>
      </c>
      <c r="D9" s="11" t="n"/>
      <c r="E9" s="5" t="n"/>
      <c r="F9" s="4" t="n"/>
    </row>
    <row r="14">
      <c r="D14" s="10" t="n"/>
    </row>
    <row r="15">
      <c r="D15" s="9" t="n"/>
    </row>
    <row r="16">
      <c r="D16" s="9" t="n"/>
    </row>
    <row r="17">
      <c r="D17" s="9" t="n"/>
    </row>
    <row r="18">
      <c r="D18" s="9" t="n"/>
    </row>
    <row r="19">
      <c r="D19" s="9" t="n"/>
    </row>
    <row r="20">
      <c r="D20" s="9" t="n"/>
    </row>
    <row r="21">
      <c r="D21" s="9" t="n"/>
    </row>
    <row r="22">
      <c r="D22" s="9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zoomScale="160" zoomScaleNormal="160" workbookViewId="0">
      <selection activeCell="B1" sqref="B1:C9"/>
    </sheetView>
  </sheetViews>
  <sheetFormatPr baseColWidth="8" defaultRowHeight="13.8"/>
  <cols>
    <col width="16.6640625" bestFit="1" customWidth="1" style="12" min="1" max="1"/>
    <col width="19.109375" bestFit="1" customWidth="1" style="12" min="2" max="2"/>
    <col width="17.6640625" bestFit="1" customWidth="1" style="12" min="3" max="3"/>
  </cols>
  <sheetData>
    <row r="1">
      <c r="A1" s="3" t="inlineStr">
        <is>
          <t>算法</t>
        </is>
      </c>
      <c r="B1" s="10" t="inlineStr">
        <is>
          <t>evoCrypt 升级 Gas</t>
        </is>
      </c>
      <c r="C1" s="10" t="inlineStr">
        <is>
          <t>Solidity 部署 Gas</t>
        </is>
      </c>
    </row>
    <row r="2">
      <c r="A2" s="4" t="inlineStr">
        <is>
          <t>Add</t>
        </is>
      </c>
      <c r="B2" s="11" t="n">
        <v>105964</v>
      </c>
      <c r="C2" s="11" t="n">
        <v>90309</v>
      </c>
    </row>
    <row r="3">
      <c r="A3" s="4" t="inlineStr">
        <is>
          <t>Sha256</t>
        </is>
      </c>
      <c r="B3" s="11" t="n">
        <v>128168</v>
      </c>
      <c r="C3" s="11" t="n">
        <v>130661</v>
      </c>
    </row>
    <row r="4">
      <c r="A4" s="4" t="inlineStr">
        <is>
          <t>PolynomialMul</t>
        </is>
      </c>
      <c r="B4" s="11" t="n">
        <v>120372</v>
      </c>
      <c r="C4" s="11" t="n">
        <v>270187</v>
      </c>
    </row>
    <row r="5">
      <c r="A5" s="4" t="inlineStr">
        <is>
          <t>Blake2bSum256</t>
        </is>
      </c>
      <c r="B5" s="11" t="n">
        <v>130860</v>
      </c>
      <c r="C5" s="11" t="n">
        <v>856731</v>
      </c>
    </row>
    <row r="6">
      <c r="A6" s="4" t="inlineStr">
        <is>
          <t>Pbkdf2Sha256</t>
        </is>
      </c>
      <c r="B6" s="11" t="n">
        <v>175668</v>
      </c>
      <c r="C6" s="11" t="n">
        <v>388984</v>
      </c>
    </row>
    <row r="7">
      <c r="A7" s="4" t="inlineStr">
        <is>
          <t>Dh2048Secret</t>
        </is>
      </c>
      <c r="B7" s="11" t="n">
        <v>503168</v>
      </c>
      <c r="C7" s="11" t="n">
        <v>590802</v>
      </c>
    </row>
    <row r="8">
      <c r="A8" s="4" t="inlineStr">
        <is>
          <t>PedersenCommit</t>
        </is>
      </c>
      <c r="B8" s="11" t="n">
        <v>528744</v>
      </c>
      <c r="C8" s="11" t="n">
        <v>721410</v>
      </c>
    </row>
    <row r="9">
      <c r="A9" s="4" t="inlineStr">
        <is>
          <t>SchnorrVerify</t>
        </is>
      </c>
      <c r="B9" s="11" t="n">
        <v>531232</v>
      </c>
      <c r="C9" s="11" t="n">
        <v>967127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75" zoomScaleNormal="235" workbookViewId="0">
      <selection activeCell="B6" sqref="B6"/>
    </sheetView>
  </sheetViews>
  <sheetFormatPr baseColWidth="8" defaultRowHeight="13.8"/>
  <cols>
    <col width="23.88671875" bestFit="1" customWidth="1" style="12" min="1" max="1"/>
    <col width="11.109375" bestFit="1" customWidth="1" style="12" min="2" max="2"/>
    <col width="12.88671875" bestFit="1" customWidth="1" style="12" min="3" max="3"/>
    <col width="13.33203125" customWidth="1" style="15" min="4" max="4"/>
  </cols>
  <sheetData>
    <row r="1">
      <c r="A1" s="0" t="inlineStr">
        <is>
          <t>算法</t>
        </is>
      </c>
      <c r="B1" s="0" t="inlineStr">
        <is>
          <t>CGO mean</t>
        </is>
      </c>
      <c r="C1" s="0" t="inlineStr">
        <is>
          <t>WASM mean</t>
        </is>
      </c>
      <c r="D1" s="15" t="inlineStr">
        <is>
          <t>倍数</t>
        </is>
      </c>
    </row>
    <row r="2">
      <c r="A2" s="0" t="inlineStr">
        <is>
          <t>aigis_sig2_verify</t>
        </is>
      </c>
      <c r="B2" s="0" t="n">
        <v>0.106</v>
      </c>
      <c r="C2" s="0" t="n">
        <v>0.226</v>
      </c>
      <c r="D2" s="15">
        <f>C2/B2</f>
        <v/>
      </c>
    </row>
    <row r="3">
      <c r="A3" s="0" t="inlineStr">
        <is>
          <t>dilithium3_verify</t>
        </is>
      </c>
      <c r="B3" s="0" t="n">
        <v>0.141</v>
      </c>
      <c r="C3" s="0" t="n">
        <v>0.282</v>
      </c>
      <c r="D3" s="15">
        <f>C3/B3</f>
        <v/>
      </c>
    </row>
    <row r="4">
      <c r="A4" s="0" t="inlineStr">
        <is>
          <t>ml_dsa_65_verify</t>
        </is>
      </c>
      <c r="B4" s="0" t="n">
        <v>0.141</v>
      </c>
      <c r="C4" s="0" t="n">
        <v>0.286</v>
      </c>
      <c r="D4" s="15">
        <f>C4/B4</f>
        <v/>
      </c>
    </row>
    <row r="5">
      <c r="A5" s="0" t="inlineStr">
        <is>
          <t>slh_dsa_shake_192f_verify</t>
        </is>
      </c>
      <c r="B5" s="0" t="n">
        <v>3.964</v>
      </c>
      <c r="C5" s="0" t="n">
        <v>7.585</v>
      </c>
      <c r="D5" s="15">
        <f>C5/B5</f>
        <v/>
      </c>
    </row>
    <row r="6">
      <c r="A6" s="0" t="inlineStr">
        <is>
          <t>Groth16/BLS 12381</t>
        </is>
      </c>
      <c r="B6" s="0" t="n">
        <v>3.518</v>
      </c>
      <c r="C6" s="0" t="n">
        <v>24.809</v>
      </c>
      <c r="D6" s="15">
        <f>C6/B6</f>
        <v/>
      </c>
    </row>
    <row r="7">
      <c r="A7" s="0" t="inlineStr">
        <is>
          <t>Groth16/BN254</t>
        </is>
      </c>
      <c r="B7" s="0" t="n">
        <v>2.182</v>
      </c>
      <c r="C7" s="0" t="n">
        <v>11.676</v>
      </c>
      <c r="D7" s="15">
        <f>C7/B7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Qi Liu</dc:creator>
  <dcterms:created xmlns:dcterms="http://purl.org/dc/terms/" xmlns:xsi="http://www.w3.org/2001/XMLSchema-instance" xsi:type="dcterms:W3CDTF">2026-09-13T01:26:54Z</dcterms:created>
  <dcterms:modified xmlns:dcterms="http://purl.org/dc/terms/" xmlns:xsi="http://www.w3.org/2001/XMLSchema-instance" xsi:type="dcterms:W3CDTF">2026-10-23T02:21:29Z</dcterms:modified>
  <cp:lastModifiedBy>Qi Liu</cp:lastModifiedBy>
  <cp:lastPrinted>2026-09-22T06:14:28Z</cp:lastPrinted>
</cp:coreProperties>
</file>